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成绩明细" sheetId="1" r:id="rId1"/>
    <sheet name="加分明细" sheetId="2" r:id="rId2"/>
    <sheet name="成绩附表" sheetId="3" r:id="rId3"/>
    <sheet name="智育表" sheetId="4" r:id="rId4"/>
    <sheet name="学风杯成绩表" sheetId="5" r:id="rId5"/>
  </sheets>
  <definedNames>
    <definedName name="_xlnm._FilterDatabase" localSheetId="0" hidden="1">成绩明细!$A$2:$L$34</definedName>
    <definedName name="_xlnm._FilterDatabase" localSheetId="3" hidden="1">智育表!$B$2:$I$32</definedName>
    <definedName name="_xlnm._FilterDatabase" localSheetId="4" hidden="1">学风杯成绩表!$A$2:$K$32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<sst xmlns="http://schemas.openxmlformats.org/spreadsheetml/2006/main" count="373" uniqueCount="133">
  <si>
    <t>2024-2025学年度第二学期24.2班成绩明细</t>
  </si>
  <si>
    <t>学 号</t>
  </si>
  <si>
    <t>姓 名</t>
  </si>
  <si>
    <t>测量与地图学</t>
  </si>
  <si>
    <t>地貌学</t>
  </si>
  <si>
    <t>人文地理学</t>
  </si>
  <si>
    <t>高等数学B2</t>
  </si>
  <si>
    <t>大学英语2</t>
  </si>
  <si>
    <t>思想道德与法治</t>
  </si>
  <si>
    <t>国家安全教育</t>
  </si>
  <si>
    <t>大学语文</t>
  </si>
  <si>
    <t>创业基础</t>
  </si>
  <si>
    <t>大学体育2</t>
  </si>
  <si>
    <t>学生签字</t>
  </si>
  <si>
    <t>刘雅婷</t>
  </si>
  <si>
    <t>康佳慧</t>
  </si>
  <si>
    <t>崔思颖</t>
  </si>
  <si>
    <t>张  帆</t>
  </si>
  <si>
    <t>缪承均</t>
  </si>
  <si>
    <t>杨博钰</t>
  </si>
  <si>
    <t>吴姝涵</t>
  </si>
  <si>
    <t>王梓萌</t>
  </si>
  <si>
    <t>厉袆凡</t>
  </si>
  <si>
    <t>杜  欣</t>
  </si>
  <si>
    <t>韩怡彤</t>
  </si>
  <si>
    <t>张雅婷</t>
  </si>
  <si>
    <t>姜俊如</t>
  </si>
  <si>
    <t>邸予舒</t>
  </si>
  <si>
    <t>张  静</t>
  </si>
  <si>
    <t>姜懿航</t>
  </si>
  <si>
    <t>单奕凯</t>
  </si>
  <si>
    <t>徐艺丹</t>
  </si>
  <si>
    <t>黄海战</t>
  </si>
  <si>
    <t>姜佳志</t>
  </si>
  <si>
    <t>秦雪冰</t>
  </si>
  <si>
    <t>贺豫川</t>
  </si>
  <si>
    <t>汪  阳</t>
  </si>
  <si>
    <t>彭  嫚</t>
  </si>
  <si>
    <t>李文桃</t>
  </si>
  <si>
    <t>李若婷</t>
  </si>
  <si>
    <t>隗俊祺</t>
  </si>
  <si>
    <t>毛志言</t>
  </si>
  <si>
    <t>阎子瑞</t>
  </si>
  <si>
    <t>钟雪兰</t>
  </si>
  <si>
    <t>邢大卫</t>
  </si>
  <si>
    <t>刘益彤</t>
  </si>
  <si>
    <t>班  长：</t>
  </si>
  <si>
    <t>团支书：</t>
  </si>
  <si>
    <t>学  委：</t>
  </si>
  <si>
    <t>2024～2025学年度第二学期24.2班加分明细</t>
  </si>
  <si>
    <t>加分项目及分数</t>
  </si>
  <si>
    <t>学时数</t>
  </si>
  <si>
    <t>学时换算</t>
  </si>
  <si>
    <t>总 分</t>
  </si>
  <si>
    <t>院宣传部干事0.8、舍0.4、体0.6</t>
  </si>
  <si>
    <t>班长1、舍0.4</t>
  </si>
  <si>
    <t>校文明督导中心干事1.5、舍0.7</t>
  </si>
  <si>
    <t>校自律委员会培训中心干事1.5、舍0.7</t>
  </si>
  <si>
    <t>院文艺部干事0.8、舍0.4、体0.6</t>
  </si>
  <si>
    <t>院组织部干事0.8，舍0.4、体0.6</t>
  </si>
  <si>
    <t>校自律委员会女生公寓中心干事1.5、舍0.7、体0.6</t>
  </si>
  <si>
    <t>院舍务部干事0.8、舍0.4、体0.6</t>
  </si>
  <si>
    <t>院办公室干事0.8、舍0.4、体0.6</t>
  </si>
  <si>
    <t>校自律委员会培训中心干事1.5、舍0.7、体0.6</t>
  </si>
  <si>
    <t>院体育部干事0.8、舍0.4、体0.6</t>
  </si>
  <si>
    <t>校易班文化创意部1.1、舍0.4</t>
  </si>
  <si>
    <t>院学习部干事0.8、舍0.4、体0.6</t>
  </si>
  <si>
    <t>院学习部干事0.8、舍0.6、体0.6</t>
  </si>
  <si>
    <t>院权益安全部干事0.8、舍0.3、体0.6</t>
  </si>
  <si>
    <t>院女大学生工作部干事0.8、舍0.4</t>
  </si>
  <si>
    <t>院办公室干事0.8、舍0.3</t>
  </si>
  <si>
    <t>校自律委员会文明督导中心干事1.5、舍0.6</t>
  </si>
  <si>
    <t>舍0.3</t>
  </si>
  <si>
    <t>院主席部干事0.8、舍0.6、体0.6</t>
  </si>
  <si>
    <t>院社会实践与志愿者管理部干事0.8、舍0.4、体0.6</t>
  </si>
  <si>
    <t>院创业就业服务部干事0.8、舍0.7、体0.6</t>
  </si>
  <si>
    <t>院创业就业部干事0.8、舍0.7、体0.6</t>
  </si>
  <si>
    <t>院学习部干事0.8、舍0.6</t>
  </si>
  <si>
    <t>院权益安全部干事0.8、舍0.4</t>
  </si>
  <si>
    <t>院体育部干事0.8、舍0.3、体0.6</t>
  </si>
  <si>
    <t>刘奕彤</t>
  </si>
  <si>
    <t>名 次</t>
  </si>
  <si>
    <t>操行评定</t>
  </si>
  <si>
    <t>技能加分项目</t>
  </si>
  <si>
    <t>技能分</t>
  </si>
  <si>
    <t>加分</t>
  </si>
  <si>
    <t>减分</t>
  </si>
  <si>
    <t>明细</t>
  </si>
  <si>
    <t>总分</t>
  </si>
  <si>
    <t>1/32</t>
  </si>
  <si>
    <t>2/32</t>
  </si>
  <si>
    <t>生0.7</t>
  </si>
  <si>
    <t>3/32</t>
  </si>
  <si>
    <t>4/32</t>
  </si>
  <si>
    <t>生0.2</t>
  </si>
  <si>
    <t>5/32</t>
  </si>
  <si>
    <t>四级2</t>
  </si>
  <si>
    <t>6/32</t>
  </si>
  <si>
    <t>7/32</t>
  </si>
  <si>
    <t>校三等0.4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</si>
  <si>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</si>
  <si>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</si>
  <si>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</si>
  <si>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</si>
  <si>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</si>
  <si>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</si>
  <si>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</si>
  <si>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</si>
  <si>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</si>
  <si>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</si>
  <si>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生0.4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</si>
  <si>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</si>
  <si>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</si>
  <si>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</si>
  <si>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</si>
  <si>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</si>
  <si>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</si>
  <si>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</si>
  <si>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</si>
  <si>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</si>
  <si>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</si>
  <si>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</si>
  <si>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</si>
  <si>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</si>
  <si>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</si>
  <si>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</si>
  <si>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2024～2025学年度第二学期24.2班成绩表（智育）</t>
  </si>
  <si>
    <t>智育成绩</t>
  </si>
  <si>
    <t>体育成绩</t>
  </si>
  <si>
    <t>技 能</t>
  </si>
  <si>
    <t>挂科数</t>
  </si>
  <si>
    <t>重修重考</t>
  </si>
  <si>
    <t>2024～2025学年度第二学期24.2班学风杯成绩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</si>
</sst>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);[Red]\(0\)"/>
    <numFmt numFmtId="179" formatCode="0.00_);[Red]\(0.00\)"/>
    <numFmt numFmtId="180" formatCode="0.0_ "/>
    <numFmt numFmtId="181" formatCode="0_ "/>
  </numFmts>
  <fonts count="29">
    <font>
      <sz val="12"/>
      <name val="宋体"/>
      <charset val="134"/>
    </font>
    <font>
      <sz val="18"/>
      <name val="黑体"/>
      <charset val="134"/>
    </font>
    <font>
      <sz val="11"/>
      <color theme="1"/>
      <name val="宋体"/>
      <charset val="134"/>
      <scheme val="minor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18"/>
      <color indexed="8"/>
      <name val="黑体"/>
      <charset val="134"/>
    </font>
    <font>
      <sz val="14"/>
      <color indexed="8"/>
      <name val="宋体"/>
      <charset val="134"/>
    </font>
    <font>
      <sz val="12"/>
      <color rgb="FF000000"/>
      <name val="宋体"/>
      <charset val="134"/>
    </font>
    <font>
      <sz val="14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3" applyNumberFormat="0" applyAlignment="0" applyProtection="0">
      <alignment vertical="center"/>
    </xf>
    <xf numFmtId="0" fontId="20" fillId="7" borderId="24" applyNumberFormat="0" applyAlignment="0" applyProtection="0">
      <alignment vertical="center"/>
    </xf>
    <xf numFmtId="0" fontId="21" fillId="7" borderId="23" applyNumberFormat="0" applyAlignment="0" applyProtection="0">
      <alignment vertical="center"/>
    </xf>
    <xf numFmtId="0" fontId="22" fillId="8" borderId="25" applyNumberFormat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>
      <protection locked="0"/>
    </xf>
    <xf numFmtId="0" fontId="0" fillId="0" borderId="0"/>
    <xf numFmtId="0" fontId="0" fillId="0" borderId="0"/>
  </cellStyleXfs>
  <cellXfs count="15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5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5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76" fontId="0" fillId="2" borderId="5" xfId="0" applyNumberFormat="1" applyFont="1" applyFill="1" applyBorder="1" applyAlignment="1">
      <alignment horizontal="center" vertical="center"/>
    </xf>
    <xf numFmtId="0" fontId="0" fillId="0" borderId="5" xfId="50" applyFont="1" applyBorder="1" applyAlignment="1">
      <alignment horizontal="center" vertical="center"/>
    </xf>
    <xf numFmtId="0" fontId="0" fillId="0" borderId="5" xfId="49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50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50" applyNumberFormat="1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49" fontId="0" fillId="0" borderId="4" xfId="52" applyNumberFormat="1" applyFon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49" fontId="0" fillId="0" borderId="7" xfId="52" applyNumberFormat="1" applyFont="1" applyBorder="1" applyAlignment="1">
      <alignment horizontal="center" vertical="center"/>
    </xf>
    <xf numFmtId="49" fontId="0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52" applyFont="1" applyBorder="1" applyAlignment="1">
      <alignment horizontal="center" vertical="center"/>
    </xf>
    <xf numFmtId="0" fontId="0" fillId="0" borderId="1" xfId="52" applyFont="1" applyBorder="1" applyAlignment="1">
      <alignment horizontal="center" vertical="center"/>
    </xf>
    <xf numFmtId="0" fontId="0" fillId="0" borderId="2" xfId="52" applyFon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4" xfId="52" applyFont="1" applyBorder="1" applyAlignment="1">
      <alignment horizontal="center" vertical="center"/>
    </xf>
    <xf numFmtId="0" fontId="0" fillId="0" borderId="5" xfId="52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49" fontId="0" fillId="0" borderId="4" xfId="52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9" fontId="0" fillId="0" borderId="11" xfId="0" applyNumberFormat="1" applyFont="1" applyFill="1" applyBorder="1" applyAlignment="1">
      <alignment horizontal="center" vertical="center"/>
    </xf>
    <xf numFmtId="0" fontId="0" fillId="0" borderId="0" xfId="5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80" fontId="0" fillId="0" borderId="5" xfId="0" applyNumberFormat="1" applyFont="1" applyBorder="1" applyAlignment="1">
      <alignment horizontal="center" vertical="center"/>
    </xf>
    <xf numFmtId="180" fontId="0" fillId="0" borderId="5" xfId="0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4" fillId="2" borderId="5" xfId="0" applyNumberFormat="1" applyFont="1" applyFill="1" applyBorder="1" applyAlignment="1">
      <alignment horizontal="center" vertical="center"/>
    </xf>
    <xf numFmtId="49" fontId="0" fillId="0" borderId="12" xfId="52" applyNumberFormat="1" applyFont="1" applyFill="1" applyBorder="1" applyAlignment="1">
      <alignment horizontal="center" vertical="center"/>
    </xf>
    <xf numFmtId="0" fontId="0" fillId="0" borderId="13" xfId="50" applyNumberFormat="1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176" fontId="0" fillId="0" borderId="13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176" fontId="0" fillId="0" borderId="0" xfId="53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4" xfId="5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6" xfId="0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50" applyFont="1" applyFill="1" applyBorder="1" applyAlignment="1">
      <alignment horizontal="center" vertical="center"/>
    </xf>
    <xf numFmtId="0" fontId="0" fillId="0" borderId="4" xfId="49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3" borderId="5" xfId="5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3" borderId="8" xfId="5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>
      <alignment vertical="center"/>
    </xf>
    <xf numFmtId="49" fontId="0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1" fillId="0" borderId="0" xfId="52" applyFont="1" applyFill="1" applyAlignment="1">
      <alignment horizontal="center" vertical="center"/>
    </xf>
    <xf numFmtId="0" fontId="0" fillId="0" borderId="15" xfId="50" applyNumberFormat="1" applyFont="1" applyBorder="1" applyAlignment="1">
      <alignment horizontal="center" vertical="center"/>
    </xf>
    <xf numFmtId="0" fontId="0" fillId="0" borderId="16" xfId="50" applyNumberFormat="1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4" xfId="50" applyNumberFormat="1" applyFont="1" applyBorder="1" applyAlignment="1">
      <alignment horizontal="center" vertical="center"/>
    </xf>
    <xf numFmtId="180" fontId="9" fillId="0" borderId="5" xfId="0" applyNumberFormat="1" applyFont="1" applyFill="1" applyBorder="1" applyAlignment="1">
      <alignment horizontal="center" vertical="center"/>
    </xf>
    <xf numFmtId="180" fontId="10" fillId="2" borderId="5" xfId="0" applyNumberFormat="1" applyFont="1" applyFill="1" applyBorder="1" applyAlignment="1">
      <alignment horizontal="center" vertical="center"/>
    </xf>
    <xf numFmtId="180" fontId="9" fillId="2" borderId="5" xfId="0" applyNumberFormat="1" applyFont="1" applyFill="1" applyBorder="1" applyAlignment="1">
      <alignment horizontal="center" vertical="center"/>
    </xf>
    <xf numFmtId="181" fontId="10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78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10" fillId="0" borderId="5" xfId="0" applyNumberFormat="1" applyFont="1" applyFill="1" applyBorder="1" applyAlignment="1">
      <alignment horizontal="center" vertical="center"/>
    </xf>
    <xf numFmtId="181" fontId="10" fillId="0" borderId="5" xfId="0" applyNumberFormat="1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0" fontId="0" fillId="0" borderId="4" xfId="50" applyFont="1" applyBorder="1" applyAlignment="1">
      <alignment horizontal="center" vertical="center"/>
    </xf>
    <xf numFmtId="180" fontId="0" fillId="0" borderId="5" xfId="0" applyNumberFormat="1" applyBorder="1">
      <alignment vertical="center"/>
    </xf>
    <xf numFmtId="180" fontId="0" fillId="0" borderId="5" xfId="0" applyNumberFormat="1" applyBorder="1" applyAlignment="1">
      <alignment horizontal="center" vertical="center"/>
    </xf>
    <xf numFmtId="0" fontId="0" fillId="0" borderId="4" xfId="49" applyFont="1" applyBorder="1" applyAlignment="1">
      <alignment horizontal="center" vertical="center"/>
    </xf>
    <xf numFmtId="178" fontId="9" fillId="0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1" fontId="9" fillId="0" borderId="5" xfId="0" applyNumberFormat="1" applyFon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0" fontId="0" fillId="0" borderId="7" xfId="50" applyNumberFormat="1" applyFont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81" fontId="9" fillId="0" borderId="8" xfId="0" applyNumberFormat="1" applyFont="1" applyFill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0" fontId="2" fillId="0" borderId="0" xfId="0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_Sheet1" xfId="52"/>
    <cellStyle name="常规_Sheet1_1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="110" zoomScaleNormal="110" zoomScaleSheetLayoutView="60" workbookViewId="0">
      <selection activeCell="K5" sqref="K5"/>
    </sheetView>
  </sheetViews>
  <sheetFormatPr defaultColWidth="9" defaultRowHeight="15.6"/>
  <cols>
    <col min="1" max="1" width="6.2"/>
    <col min="2" max="2" width="8.7" customWidth="1"/>
    <col min="3" max="7" width="7.4"/>
    <col min="8" max="8" width="8.2"/>
    <col min="9" max="9" width="7.4"/>
    <col min="10" max="10" width="9.9" customWidth="1"/>
    <col min="11" max="13" width="10.3333333333333" customWidth="1"/>
    <col min="14" max="17" width="12.6666666666667"/>
    <col min="19" max="19" width="12.6666666666667"/>
  </cols>
  <sheetData>
    <row r="1" ht="22.95" spans="1:18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ht="50" customHeight="1" spans="1:18">
      <c r="A2" s="115" t="s">
        <v>1</v>
      </c>
      <c r="B2" s="116" t="s">
        <v>2</v>
      </c>
      <c r="C2" s="117" t="s">
        <v>3</v>
      </c>
      <c r="D2" s="117" t="s">
        <v>4</v>
      </c>
      <c r="E2" s="117" t="s">
        <v>5</v>
      </c>
      <c r="F2" s="117" t="s">
        <v>6</v>
      </c>
      <c r="G2" s="117" t="s">
        <v>7</v>
      </c>
      <c r="H2" s="118" t="s">
        <v>8</v>
      </c>
      <c r="I2" s="118" t="s">
        <v>9</v>
      </c>
      <c r="J2" s="118" t="s">
        <v>10</v>
      </c>
      <c r="K2" s="118" t="s">
        <v>11</v>
      </c>
      <c r="L2" s="119" t="s">
        <v>12</v>
      </c>
      <c r="M2" s="120" t="s">
        <v>13</v>
      </c>
      <c r="N2" s="121"/>
      <c r="O2" s="77"/>
    </row>
    <row r="3" spans="1:18">
      <c r="A3" s="122">
        <v>1</v>
      </c>
      <c r="B3" s="10" t="s">
        <v>14</v>
      </c>
      <c r="C3" s="123">
        <v>56</v>
      </c>
      <c r="D3" s="124">
        <v>63</v>
      </c>
      <c r="E3" s="124">
        <v>60</v>
      </c>
      <c r="F3" s="124">
        <v>46</v>
      </c>
      <c r="G3" s="125">
        <v>60</v>
      </c>
      <c r="H3" s="126">
        <v>50</v>
      </c>
      <c r="I3" s="127">
        <v>90</v>
      </c>
      <c r="J3" s="128">
        <v>80</v>
      </c>
      <c r="K3" s="129">
        <v>80</v>
      </c>
      <c r="L3" s="2">
        <v>81</v>
      </c>
      <c r="M3" s="130"/>
      <c r="N3" s="38">
        <v>3</v>
      </c>
      <c r="O3" s="131">
        <f>(SUM(C3:G3)+SUM(H3:K3)*70%)/9</f>
        <v>55</v>
      </c>
      <c r="P3" s="132">
        <f>L3*0.04+4</f>
        <v>7.24</v>
      </c>
      <c r="Q3" s="18"/>
      <c r="R3" s="18"/>
    </row>
    <row r="4" spans="1:18">
      <c r="A4" s="122">
        <v>2</v>
      </c>
      <c r="B4" s="10" t="s">
        <v>15</v>
      </c>
      <c r="C4" s="123">
        <v>50</v>
      </c>
      <c r="D4" s="133">
        <v>32</v>
      </c>
      <c r="E4" s="133">
        <v>60</v>
      </c>
      <c r="F4" s="133">
        <v>66</v>
      </c>
      <c r="G4" s="133">
        <v>50</v>
      </c>
      <c r="H4" s="134">
        <v>70</v>
      </c>
      <c r="I4" s="129">
        <v>80</v>
      </c>
      <c r="J4" s="135">
        <v>80</v>
      </c>
      <c r="K4" s="129">
        <v>80</v>
      </c>
      <c r="L4" s="25">
        <v>72</v>
      </c>
      <c r="M4" s="136"/>
      <c r="N4" s="38">
        <v>3</v>
      </c>
      <c r="O4" s="131">
        <f t="shared" ref="O4:O34" si="0">(SUM(C4:G4)+SUM(H4:K4)*70%)/9</f>
        <v>52.7777777777778</v>
      </c>
      <c r="P4" s="132">
        <f t="shared" ref="P4:P34" si="1">L4*0.04+4</f>
        <v>6.88</v>
      </c>
      <c r="Q4" s="18"/>
      <c r="R4" s="18"/>
    </row>
    <row r="5" spans="1:18">
      <c r="A5" s="122">
        <v>3</v>
      </c>
      <c r="B5" s="10" t="s">
        <v>16</v>
      </c>
      <c r="C5" s="123">
        <v>92</v>
      </c>
      <c r="D5" s="133">
        <v>92</v>
      </c>
      <c r="E5" s="133">
        <v>89</v>
      </c>
      <c r="F5" s="133">
        <v>87</v>
      </c>
      <c r="G5" s="133">
        <v>77</v>
      </c>
      <c r="H5" s="134">
        <v>60</v>
      </c>
      <c r="I5" s="129">
        <v>90</v>
      </c>
      <c r="J5" s="135">
        <v>90</v>
      </c>
      <c r="K5" s="129">
        <v>80</v>
      </c>
      <c r="L5" s="25">
        <v>96</v>
      </c>
      <c r="M5" s="136"/>
      <c r="N5" s="38"/>
      <c r="O5" s="131">
        <f t="shared" si="0"/>
        <v>73.4444444444444</v>
      </c>
      <c r="P5" s="132">
        <f t="shared" si="1"/>
        <v>7.84</v>
      </c>
      <c r="Q5" s="18"/>
      <c r="R5" s="18"/>
    </row>
    <row r="6" spans="1:18">
      <c r="A6" s="122">
        <v>4</v>
      </c>
      <c r="B6" s="10" t="s">
        <v>17</v>
      </c>
      <c r="C6" s="123">
        <v>90</v>
      </c>
      <c r="D6" s="133">
        <v>80</v>
      </c>
      <c r="E6" s="133">
        <v>79</v>
      </c>
      <c r="F6" s="133">
        <v>87</v>
      </c>
      <c r="G6" s="133">
        <v>78</v>
      </c>
      <c r="H6" s="134">
        <v>70</v>
      </c>
      <c r="I6" s="129">
        <v>90</v>
      </c>
      <c r="J6" s="135">
        <v>90</v>
      </c>
      <c r="K6" s="129">
        <v>90</v>
      </c>
      <c r="L6" s="25">
        <v>96</v>
      </c>
      <c r="M6" s="136"/>
      <c r="N6" s="38"/>
      <c r="O6" s="131">
        <f t="shared" si="0"/>
        <v>72.4444444444444</v>
      </c>
      <c r="P6" s="132">
        <f t="shared" si="1"/>
        <v>7.84</v>
      </c>
      <c r="Q6" s="18"/>
      <c r="R6" s="18"/>
    </row>
    <row r="7" spans="1:18">
      <c r="A7" s="122">
        <v>5</v>
      </c>
      <c r="B7" s="10" t="s">
        <v>18</v>
      </c>
      <c r="C7" s="123">
        <v>73</v>
      </c>
      <c r="D7" s="133">
        <v>60</v>
      </c>
      <c r="E7" s="133">
        <v>60</v>
      </c>
      <c r="F7" s="133">
        <v>63</v>
      </c>
      <c r="G7" s="133">
        <v>81</v>
      </c>
      <c r="H7" s="134">
        <v>60</v>
      </c>
      <c r="I7" s="129">
        <v>90</v>
      </c>
      <c r="J7" s="135">
        <v>80</v>
      </c>
      <c r="K7" s="129">
        <v>80</v>
      </c>
      <c r="L7" s="25">
        <v>88</v>
      </c>
      <c r="M7" s="136"/>
      <c r="N7" s="38"/>
      <c r="O7" s="131">
        <f t="shared" si="0"/>
        <v>61.5555555555556</v>
      </c>
      <c r="P7" s="132">
        <f t="shared" si="1"/>
        <v>7.52</v>
      </c>
      <c r="Q7" s="18"/>
      <c r="R7" s="18"/>
    </row>
    <row r="8" spans="1:18">
      <c r="A8" s="122">
        <v>6</v>
      </c>
      <c r="B8" s="10" t="s">
        <v>19</v>
      </c>
      <c r="C8" s="123">
        <v>88</v>
      </c>
      <c r="D8" s="133">
        <v>73</v>
      </c>
      <c r="E8" s="133">
        <v>75</v>
      </c>
      <c r="F8" s="133">
        <v>76</v>
      </c>
      <c r="G8" s="133">
        <v>81</v>
      </c>
      <c r="H8" s="134">
        <v>60</v>
      </c>
      <c r="I8" s="129">
        <v>90</v>
      </c>
      <c r="J8" s="135">
        <v>90</v>
      </c>
      <c r="K8" s="129">
        <v>80</v>
      </c>
      <c r="L8" s="25">
        <v>84</v>
      </c>
      <c r="M8" s="136"/>
      <c r="N8" s="38"/>
      <c r="O8" s="131">
        <f t="shared" si="0"/>
        <v>68.5555555555556</v>
      </c>
      <c r="P8" s="132">
        <f t="shared" si="1"/>
        <v>7.36</v>
      </c>
      <c r="Q8" s="18"/>
      <c r="R8" s="18"/>
    </row>
    <row r="9" spans="1:18">
      <c r="A9" s="122">
        <v>7</v>
      </c>
      <c r="B9" s="10" t="s">
        <v>20</v>
      </c>
      <c r="C9" s="123">
        <v>92</v>
      </c>
      <c r="D9" s="133">
        <v>71</v>
      </c>
      <c r="E9" s="133">
        <v>83</v>
      </c>
      <c r="F9" s="133">
        <v>76</v>
      </c>
      <c r="G9" s="133">
        <v>76</v>
      </c>
      <c r="H9" s="134">
        <v>70</v>
      </c>
      <c r="I9" s="129">
        <v>90</v>
      </c>
      <c r="J9" s="135">
        <v>90</v>
      </c>
      <c r="K9" s="129">
        <v>80</v>
      </c>
      <c r="L9" s="25">
        <v>84</v>
      </c>
      <c r="M9" s="136"/>
      <c r="N9" s="38"/>
      <c r="O9" s="131">
        <f t="shared" si="0"/>
        <v>69.8888888888889</v>
      </c>
      <c r="P9" s="132">
        <f t="shared" si="1"/>
        <v>7.36</v>
      </c>
      <c r="Q9" s="18"/>
      <c r="R9" s="18"/>
    </row>
    <row r="10" spans="1:18">
      <c r="A10" s="122">
        <v>8</v>
      </c>
      <c r="B10" s="10" t="s">
        <v>21</v>
      </c>
      <c r="C10" s="133">
        <v>80</v>
      </c>
      <c r="D10" s="133">
        <v>67</v>
      </c>
      <c r="E10" s="133">
        <v>75</v>
      </c>
      <c r="F10" s="133">
        <v>64</v>
      </c>
      <c r="G10" s="133">
        <v>77</v>
      </c>
      <c r="H10" s="134">
        <v>70</v>
      </c>
      <c r="I10" s="129">
        <v>90</v>
      </c>
      <c r="J10" s="135">
        <v>90</v>
      </c>
      <c r="K10" s="129">
        <v>80</v>
      </c>
      <c r="L10" s="25">
        <v>73</v>
      </c>
      <c r="M10" s="136"/>
      <c r="N10" s="38"/>
      <c r="O10" s="131">
        <f t="shared" si="0"/>
        <v>66</v>
      </c>
      <c r="P10" s="132">
        <f t="shared" si="1"/>
        <v>6.92</v>
      </c>
      <c r="Q10" s="18"/>
      <c r="R10" s="18"/>
    </row>
    <row r="11" spans="1:18">
      <c r="A11" s="122">
        <v>9</v>
      </c>
      <c r="B11" s="10" t="s">
        <v>22</v>
      </c>
      <c r="C11" s="123">
        <v>93</v>
      </c>
      <c r="D11" s="133">
        <v>94</v>
      </c>
      <c r="E11" s="133">
        <v>90</v>
      </c>
      <c r="F11" s="133">
        <v>83</v>
      </c>
      <c r="G11" s="133">
        <v>83</v>
      </c>
      <c r="H11" s="134">
        <v>90</v>
      </c>
      <c r="I11" s="129">
        <v>90</v>
      </c>
      <c r="J11" s="135">
        <v>90</v>
      </c>
      <c r="K11" s="129">
        <v>80</v>
      </c>
      <c r="L11" s="25">
        <v>86</v>
      </c>
      <c r="M11" s="136"/>
      <c r="N11" s="38"/>
      <c r="O11" s="131">
        <f t="shared" si="0"/>
        <v>76.4444444444444</v>
      </c>
      <c r="P11" s="132">
        <f t="shared" si="1"/>
        <v>7.44</v>
      </c>
      <c r="Q11" s="18"/>
      <c r="R11" s="18"/>
    </row>
    <row r="12" spans="1:18">
      <c r="A12" s="122">
        <v>10</v>
      </c>
      <c r="B12" s="10" t="s">
        <v>23</v>
      </c>
      <c r="C12" s="133">
        <v>90</v>
      </c>
      <c r="D12" s="133">
        <v>71</v>
      </c>
      <c r="E12" s="133">
        <v>82</v>
      </c>
      <c r="F12" s="133">
        <v>67</v>
      </c>
      <c r="G12" s="133">
        <v>79</v>
      </c>
      <c r="H12" s="134">
        <v>90</v>
      </c>
      <c r="I12" s="129">
        <v>90</v>
      </c>
      <c r="J12" s="135">
        <v>80</v>
      </c>
      <c r="K12" s="129">
        <v>90</v>
      </c>
      <c r="L12" s="25">
        <v>80</v>
      </c>
      <c r="M12" s="136"/>
      <c r="N12" s="38"/>
      <c r="O12" s="131">
        <f t="shared" si="0"/>
        <v>70.4444444444444</v>
      </c>
      <c r="P12" s="132">
        <f t="shared" si="1"/>
        <v>7.2</v>
      </c>
      <c r="Q12" s="18"/>
      <c r="R12" s="18"/>
    </row>
    <row r="13" spans="1:18">
      <c r="A13" s="122">
        <v>11</v>
      </c>
      <c r="B13" s="10" t="s">
        <v>24</v>
      </c>
      <c r="C13" s="123">
        <v>73</v>
      </c>
      <c r="D13" s="133">
        <v>61</v>
      </c>
      <c r="E13" s="133">
        <v>57</v>
      </c>
      <c r="F13" s="133">
        <v>50</v>
      </c>
      <c r="G13" s="133">
        <v>70</v>
      </c>
      <c r="H13" s="134">
        <v>60</v>
      </c>
      <c r="I13" s="129">
        <v>90</v>
      </c>
      <c r="J13" s="135">
        <v>80</v>
      </c>
      <c r="K13" s="129">
        <v>80</v>
      </c>
      <c r="L13" s="25">
        <v>71</v>
      </c>
      <c r="M13" s="136"/>
      <c r="N13" s="38">
        <v>2</v>
      </c>
      <c r="O13" s="131">
        <f t="shared" si="0"/>
        <v>58.6666666666667</v>
      </c>
      <c r="P13" s="132">
        <f t="shared" si="1"/>
        <v>6.84</v>
      </c>
      <c r="Q13" s="18"/>
      <c r="R13" s="18"/>
    </row>
    <row r="14" spans="1:18">
      <c r="A14" s="122">
        <v>12</v>
      </c>
      <c r="B14" s="10" t="s">
        <v>25</v>
      </c>
      <c r="C14" s="123">
        <v>70</v>
      </c>
      <c r="D14" s="133">
        <v>65</v>
      </c>
      <c r="E14" s="133">
        <v>69</v>
      </c>
      <c r="F14" s="133">
        <v>72</v>
      </c>
      <c r="G14" s="133">
        <v>75</v>
      </c>
      <c r="H14" s="134">
        <v>70</v>
      </c>
      <c r="I14" s="129">
        <v>90</v>
      </c>
      <c r="J14" s="135">
        <v>80</v>
      </c>
      <c r="K14" s="129">
        <v>80</v>
      </c>
      <c r="L14" s="25">
        <v>77</v>
      </c>
      <c r="M14" s="136"/>
      <c r="N14" s="38">
        <v>0</v>
      </c>
      <c r="O14" s="131">
        <f t="shared" si="0"/>
        <v>63.8888888888889</v>
      </c>
      <c r="P14" s="132">
        <f t="shared" si="1"/>
        <v>7.08</v>
      </c>
      <c r="Q14" s="18"/>
      <c r="R14" s="18"/>
    </row>
    <row r="15" spans="1:18">
      <c r="A15" s="97">
        <v>13</v>
      </c>
      <c r="B15" s="10" t="s">
        <v>26</v>
      </c>
      <c r="C15" s="123">
        <v>58</v>
      </c>
      <c r="D15" s="133">
        <v>60</v>
      </c>
      <c r="E15" s="133">
        <v>57</v>
      </c>
      <c r="F15" s="133">
        <v>45</v>
      </c>
      <c r="G15" s="133">
        <v>60</v>
      </c>
      <c r="H15" s="134">
        <v>50</v>
      </c>
      <c r="I15" s="129">
        <v>90</v>
      </c>
      <c r="J15" s="135">
        <v>80</v>
      </c>
      <c r="K15" s="129">
        <v>90</v>
      </c>
      <c r="L15" s="25">
        <v>60</v>
      </c>
      <c r="M15" s="136"/>
      <c r="N15" s="38">
        <v>4</v>
      </c>
      <c r="O15" s="131">
        <f t="shared" si="0"/>
        <v>55.2222222222222</v>
      </c>
      <c r="P15" s="132">
        <f t="shared" si="1"/>
        <v>6.4</v>
      </c>
      <c r="Q15" s="18"/>
      <c r="R15" s="18"/>
    </row>
    <row r="16" spans="1:18">
      <c r="A16" s="122">
        <v>14</v>
      </c>
      <c r="B16" s="10" t="s">
        <v>27</v>
      </c>
      <c r="C16" s="133">
        <v>85</v>
      </c>
      <c r="D16" s="133">
        <v>61</v>
      </c>
      <c r="E16" s="133">
        <v>65</v>
      </c>
      <c r="F16" s="133">
        <v>74</v>
      </c>
      <c r="G16" s="133">
        <v>78</v>
      </c>
      <c r="H16" s="134">
        <v>60</v>
      </c>
      <c r="I16" s="129">
        <v>90</v>
      </c>
      <c r="J16" s="135">
        <v>80</v>
      </c>
      <c r="K16" s="129">
        <v>80</v>
      </c>
      <c r="L16" s="25">
        <v>76</v>
      </c>
      <c r="M16" s="136"/>
      <c r="N16" s="38"/>
      <c r="O16" s="131">
        <f t="shared" si="0"/>
        <v>64.4444444444444</v>
      </c>
      <c r="P16" s="132">
        <f t="shared" si="1"/>
        <v>7.04</v>
      </c>
      <c r="Q16" s="18"/>
      <c r="R16" s="18"/>
    </row>
    <row r="17" spans="1:18">
      <c r="A17" s="122">
        <v>15</v>
      </c>
      <c r="B17" s="10" t="s">
        <v>28</v>
      </c>
      <c r="C17" s="123">
        <v>82</v>
      </c>
      <c r="D17" s="133">
        <v>74</v>
      </c>
      <c r="E17" s="133">
        <v>83</v>
      </c>
      <c r="F17" s="133">
        <v>87</v>
      </c>
      <c r="G17" s="133">
        <v>76</v>
      </c>
      <c r="H17" s="134">
        <v>90</v>
      </c>
      <c r="I17" s="129">
        <v>90</v>
      </c>
      <c r="J17" s="135">
        <v>90</v>
      </c>
      <c r="K17" s="129">
        <v>80</v>
      </c>
      <c r="L17" s="25">
        <v>85</v>
      </c>
      <c r="M17" s="136"/>
      <c r="N17" s="38"/>
      <c r="O17" s="131">
        <f t="shared" si="0"/>
        <v>71.8888888888889</v>
      </c>
      <c r="P17" s="132">
        <f t="shared" si="1"/>
        <v>7.4</v>
      </c>
      <c r="Q17" s="18"/>
      <c r="R17" s="18"/>
    </row>
    <row r="18" spans="1:18">
      <c r="A18" s="122">
        <v>16</v>
      </c>
      <c r="B18" s="10" t="s">
        <v>29</v>
      </c>
      <c r="C18" s="123">
        <v>64</v>
      </c>
      <c r="D18" s="133">
        <v>62</v>
      </c>
      <c r="E18" s="133">
        <v>77</v>
      </c>
      <c r="F18" s="133">
        <v>53</v>
      </c>
      <c r="G18" s="133">
        <v>66</v>
      </c>
      <c r="H18" s="134">
        <v>60</v>
      </c>
      <c r="I18" s="129">
        <v>90</v>
      </c>
      <c r="J18" s="135">
        <v>90</v>
      </c>
      <c r="K18" s="129">
        <v>80</v>
      </c>
      <c r="L18" s="25">
        <v>64</v>
      </c>
      <c r="M18" s="136"/>
      <c r="N18" s="38">
        <v>1</v>
      </c>
      <c r="O18" s="131">
        <f t="shared" si="0"/>
        <v>60.6666666666667</v>
      </c>
      <c r="P18" s="132">
        <f t="shared" si="1"/>
        <v>6.56</v>
      </c>
      <c r="Q18" s="18"/>
      <c r="R18" s="18"/>
    </row>
    <row r="19" ht="15" customHeight="1" spans="1:18">
      <c r="A19" s="137">
        <v>17</v>
      </c>
      <c r="B19" s="10" t="s">
        <v>30</v>
      </c>
      <c r="C19" s="123">
        <v>72</v>
      </c>
      <c r="D19" s="133">
        <v>52</v>
      </c>
      <c r="E19" s="133">
        <v>67</v>
      </c>
      <c r="F19" s="133">
        <v>53</v>
      </c>
      <c r="G19" s="133">
        <v>66</v>
      </c>
      <c r="H19" s="134">
        <v>60</v>
      </c>
      <c r="I19" s="129">
        <v>90</v>
      </c>
      <c r="J19" s="135">
        <v>90</v>
      </c>
      <c r="K19" s="129">
        <v>80</v>
      </c>
      <c r="L19" s="25">
        <v>68</v>
      </c>
      <c r="M19" s="136"/>
      <c r="N19" s="38">
        <v>2</v>
      </c>
      <c r="O19" s="131">
        <f t="shared" si="0"/>
        <v>59.3333333333333</v>
      </c>
      <c r="P19" s="132">
        <f t="shared" si="1"/>
        <v>6.72</v>
      </c>
      <c r="Q19" s="18"/>
      <c r="R19" s="18"/>
    </row>
    <row r="20" spans="1:18">
      <c r="A20" s="137">
        <v>18</v>
      </c>
      <c r="B20" s="10" t="s">
        <v>31</v>
      </c>
      <c r="C20" s="138">
        <v>68</v>
      </c>
      <c r="D20" s="133">
        <v>63</v>
      </c>
      <c r="E20" s="133">
        <v>73</v>
      </c>
      <c r="F20" s="133">
        <v>80</v>
      </c>
      <c r="G20" s="133">
        <v>80</v>
      </c>
      <c r="H20" s="134">
        <v>60</v>
      </c>
      <c r="I20" s="129">
        <v>90</v>
      </c>
      <c r="J20" s="135">
        <v>80</v>
      </c>
      <c r="K20" s="129">
        <v>80</v>
      </c>
      <c r="L20" s="25">
        <v>73</v>
      </c>
      <c r="M20" s="136"/>
      <c r="N20" s="38"/>
      <c r="O20" s="131">
        <f t="shared" si="0"/>
        <v>64.5555555555556</v>
      </c>
      <c r="P20" s="132">
        <f t="shared" si="1"/>
        <v>6.92</v>
      </c>
      <c r="Q20" s="18"/>
      <c r="R20" s="18"/>
    </row>
    <row r="21" spans="1:18">
      <c r="A21" s="137">
        <v>19</v>
      </c>
      <c r="B21" s="10" t="s">
        <v>32</v>
      </c>
      <c r="C21" s="133">
        <v>78</v>
      </c>
      <c r="D21" s="133">
        <v>60</v>
      </c>
      <c r="E21" s="133">
        <v>72</v>
      </c>
      <c r="F21" s="133">
        <v>81</v>
      </c>
      <c r="G21" s="133">
        <v>88</v>
      </c>
      <c r="H21" s="134">
        <v>60</v>
      </c>
      <c r="I21" s="129">
        <v>90</v>
      </c>
      <c r="J21" s="135">
        <v>70</v>
      </c>
      <c r="K21" s="129">
        <v>80</v>
      </c>
      <c r="L21" s="25">
        <v>79</v>
      </c>
      <c r="M21" s="136"/>
      <c r="N21" s="38"/>
      <c r="O21" s="131">
        <f t="shared" si="0"/>
        <v>65.4444444444444</v>
      </c>
      <c r="P21" s="132">
        <f t="shared" si="1"/>
        <v>7.16</v>
      </c>
      <c r="Q21" s="18"/>
      <c r="R21" s="18"/>
    </row>
    <row r="22" spans="1:18">
      <c r="A22" s="137">
        <v>20</v>
      </c>
      <c r="B22" s="10" t="s">
        <v>33</v>
      </c>
      <c r="C22" s="133">
        <v>51</v>
      </c>
      <c r="D22" s="133">
        <v>63</v>
      </c>
      <c r="E22" s="133">
        <v>67</v>
      </c>
      <c r="F22" s="133">
        <v>60</v>
      </c>
      <c r="G22" s="133">
        <v>72</v>
      </c>
      <c r="H22" s="134">
        <v>60</v>
      </c>
      <c r="I22" s="129">
        <v>90</v>
      </c>
      <c r="J22" s="135">
        <v>80</v>
      </c>
      <c r="K22" s="129">
        <v>80</v>
      </c>
      <c r="L22" s="25">
        <v>90</v>
      </c>
      <c r="M22" s="136"/>
      <c r="N22" s="38">
        <v>1</v>
      </c>
      <c r="O22" s="131">
        <f t="shared" si="0"/>
        <v>58.8888888888889</v>
      </c>
      <c r="P22" s="132">
        <f t="shared" si="1"/>
        <v>7.6</v>
      </c>
      <c r="Q22" s="18"/>
      <c r="R22" s="18"/>
    </row>
    <row r="23" spans="1:18">
      <c r="A23" s="137">
        <v>21</v>
      </c>
      <c r="B23" s="10" t="s">
        <v>34</v>
      </c>
      <c r="C23" s="133">
        <v>85</v>
      </c>
      <c r="D23" s="133">
        <v>60</v>
      </c>
      <c r="E23" s="133">
        <v>79</v>
      </c>
      <c r="F23" s="139">
        <v>80</v>
      </c>
      <c r="G23" s="133">
        <v>80</v>
      </c>
      <c r="H23" s="134">
        <v>70</v>
      </c>
      <c r="I23" s="129">
        <v>90</v>
      </c>
      <c r="J23" s="135">
        <v>70</v>
      </c>
      <c r="K23" s="129">
        <v>80</v>
      </c>
      <c r="L23" s="25">
        <v>71</v>
      </c>
      <c r="M23" s="136"/>
      <c r="N23" s="38"/>
      <c r="O23" s="131">
        <f t="shared" si="0"/>
        <v>66.7777777777778</v>
      </c>
      <c r="P23" s="132">
        <f t="shared" si="1"/>
        <v>6.84</v>
      </c>
      <c r="Q23" s="18"/>
      <c r="R23" s="18"/>
    </row>
    <row r="24" spans="1:18">
      <c r="A24" s="137">
        <v>22</v>
      </c>
      <c r="B24" s="10" t="s">
        <v>35</v>
      </c>
      <c r="C24" s="133">
        <v>66</v>
      </c>
      <c r="D24" s="133">
        <v>50</v>
      </c>
      <c r="E24" s="133">
        <v>68</v>
      </c>
      <c r="F24" s="133">
        <v>67</v>
      </c>
      <c r="G24" s="133">
        <v>72</v>
      </c>
      <c r="H24" s="134">
        <v>60</v>
      </c>
      <c r="I24" s="129">
        <v>90</v>
      </c>
      <c r="J24" s="135">
        <v>80</v>
      </c>
      <c r="K24" s="129">
        <v>80</v>
      </c>
      <c r="L24" s="25">
        <v>71</v>
      </c>
      <c r="M24" s="136"/>
      <c r="N24" s="38">
        <v>1</v>
      </c>
      <c r="O24" s="131">
        <f t="shared" si="0"/>
        <v>60</v>
      </c>
      <c r="P24" s="132">
        <f t="shared" si="1"/>
        <v>6.84</v>
      </c>
      <c r="Q24" s="18"/>
      <c r="R24" s="18"/>
    </row>
    <row r="25" spans="1:18">
      <c r="A25" s="97">
        <v>23</v>
      </c>
      <c r="B25" s="10" t="s">
        <v>36</v>
      </c>
      <c r="C25" s="133">
        <v>56</v>
      </c>
      <c r="D25" s="133">
        <v>60</v>
      </c>
      <c r="E25" s="133">
        <v>64</v>
      </c>
      <c r="F25" s="133">
        <v>88</v>
      </c>
      <c r="G25" s="133">
        <v>79</v>
      </c>
      <c r="H25" s="134">
        <v>60</v>
      </c>
      <c r="I25" s="129">
        <v>90</v>
      </c>
      <c r="J25" s="135">
        <v>80</v>
      </c>
      <c r="K25" s="129">
        <v>80</v>
      </c>
      <c r="L25" s="25">
        <v>70</v>
      </c>
      <c r="M25" s="136"/>
      <c r="N25" s="38">
        <v>1</v>
      </c>
      <c r="O25" s="131">
        <f t="shared" si="0"/>
        <v>62.6666666666667</v>
      </c>
      <c r="P25" s="132">
        <f t="shared" si="1"/>
        <v>6.8</v>
      </c>
      <c r="Q25" s="18"/>
      <c r="R25" s="18"/>
    </row>
    <row r="26" spans="1:18">
      <c r="A26" s="140">
        <v>24</v>
      </c>
      <c r="B26" s="10" t="s">
        <v>37</v>
      </c>
      <c r="C26" s="133">
        <v>93</v>
      </c>
      <c r="D26" s="133">
        <v>71</v>
      </c>
      <c r="E26" s="133">
        <v>76</v>
      </c>
      <c r="F26" s="123">
        <v>77</v>
      </c>
      <c r="G26" s="133">
        <v>76</v>
      </c>
      <c r="H26" s="134">
        <v>90</v>
      </c>
      <c r="I26" s="129">
        <v>80</v>
      </c>
      <c r="J26" s="135">
        <v>90</v>
      </c>
      <c r="K26" s="129">
        <v>80</v>
      </c>
      <c r="L26" s="25">
        <v>69</v>
      </c>
      <c r="M26" s="136"/>
      <c r="N26" s="38"/>
      <c r="O26" s="131">
        <f t="shared" si="0"/>
        <v>70.1111111111111</v>
      </c>
      <c r="P26" s="132">
        <f t="shared" si="1"/>
        <v>6.76</v>
      </c>
      <c r="Q26" s="18"/>
      <c r="R26" s="18"/>
    </row>
    <row r="27" spans="1:18">
      <c r="A27" s="140">
        <v>25</v>
      </c>
      <c r="B27" s="10" t="s">
        <v>38</v>
      </c>
      <c r="C27" s="133">
        <v>72</v>
      </c>
      <c r="D27" s="133">
        <v>65</v>
      </c>
      <c r="E27" s="133">
        <v>77</v>
      </c>
      <c r="F27" s="133">
        <v>60</v>
      </c>
      <c r="G27" s="133">
        <v>75</v>
      </c>
      <c r="H27" s="134">
        <v>60</v>
      </c>
      <c r="I27" s="129">
        <v>90</v>
      </c>
      <c r="J27" s="141">
        <v>80</v>
      </c>
      <c r="K27" s="129">
        <v>80</v>
      </c>
      <c r="L27" s="25">
        <v>76</v>
      </c>
      <c r="M27" s="136"/>
      <c r="N27" s="38"/>
      <c r="O27" s="131">
        <f t="shared" si="0"/>
        <v>62.8888888888889</v>
      </c>
      <c r="P27" s="132">
        <f t="shared" si="1"/>
        <v>7.04</v>
      </c>
      <c r="Q27" s="18"/>
      <c r="R27" s="18"/>
    </row>
    <row r="28" spans="1:18">
      <c r="A28" s="99">
        <v>26</v>
      </c>
      <c r="B28" s="10" t="s">
        <v>39</v>
      </c>
      <c r="C28" s="123">
        <v>82</v>
      </c>
      <c r="D28" s="133">
        <v>76</v>
      </c>
      <c r="E28" s="133">
        <v>70</v>
      </c>
      <c r="F28" s="133">
        <v>74</v>
      </c>
      <c r="G28" s="133">
        <v>69</v>
      </c>
      <c r="H28" s="134">
        <v>50</v>
      </c>
      <c r="I28" s="129">
        <v>90</v>
      </c>
      <c r="J28" s="135">
        <v>80</v>
      </c>
      <c r="K28" s="129">
        <v>90</v>
      </c>
      <c r="L28" s="25">
        <v>85</v>
      </c>
      <c r="M28" s="136"/>
      <c r="N28" s="38">
        <v>1</v>
      </c>
      <c r="O28" s="131">
        <f t="shared" si="0"/>
        <v>65.3333333333333</v>
      </c>
      <c r="P28" s="132">
        <f t="shared" si="1"/>
        <v>7.4</v>
      </c>
      <c r="Q28" s="18"/>
      <c r="R28" s="18"/>
    </row>
    <row r="29" spans="1:18">
      <c r="A29" s="142">
        <v>27</v>
      </c>
      <c r="B29" s="10" t="s">
        <v>40</v>
      </c>
      <c r="C29" s="123">
        <v>77</v>
      </c>
      <c r="D29" s="133">
        <v>73</v>
      </c>
      <c r="E29" s="133">
        <v>55</v>
      </c>
      <c r="F29" s="133">
        <v>81</v>
      </c>
      <c r="G29" s="133">
        <v>70</v>
      </c>
      <c r="H29" s="134">
        <v>50</v>
      </c>
      <c r="I29" s="129">
        <v>90</v>
      </c>
      <c r="J29" s="141">
        <v>80</v>
      </c>
      <c r="K29" s="129">
        <v>90</v>
      </c>
      <c r="L29" s="25">
        <v>82</v>
      </c>
      <c r="M29" s="136"/>
      <c r="N29" s="38">
        <v>2</v>
      </c>
      <c r="O29" s="131">
        <f t="shared" si="0"/>
        <v>63.6666666666667</v>
      </c>
      <c r="P29" s="132">
        <f t="shared" si="1"/>
        <v>7.28</v>
      </c>
      <c r="Q29" s="18"/>
      <c r="R29" s="18"/>
    </row>
    <row r="30" spans="1:18">
      <c r="A30" s="142">
        <v>28</v>
      </c>
      <c r="B30" s="10" t="s">
        <v>41</v>
      </c>
      <c r="C30" s="123">
        <v>88</v>
      </c>
      <c r="D30" s="133">
        <v>66</v>
      </c>
      <c r="E30" s="133">
        <v>82</v>
      </c>
      <c r="F30" s="133">
        <v>67</v>
      </c>
      <c r="G30" s="133">
        <v>88</v>
      </c>
      <c r="H30" s="134">
        <v>70</v>
      </c>
      <c r="I30" s="129">
        <v>90</v>
      </c>
      <c r="J30" s="135">
        <v>80</v>
      </c>
      <c r="K30" s="129">
        <v>80</v>
      </c>
      <c r="L30" s="25">
        <v>90</v>
      </c>
      <c r="M30" s="136"/>
      <c r="N30" s="38"/>
      <c r="O30" s="131">
        <f t="shared" si="0"/>
        <v>68.3333333333333</v>
      </c>
      <c r="P30" s="132">
        <f t="shared" si="1"/>
        <v>7.6</v>
      </c>
      <c r="Q30" s="18"/>
      <c r="R30" s="18"/>
    </row>
    <row r="31" spans="1:18">
      <c r="A31" s="142">
        <v>29</v>
      </c>
      <c r="B31" s="10" t="s">
        <v>42</v>
      </c>
      <c r="C31" s="123">
        <v>68</v>
      </c>
      <c r="D31" s="133">
        <v>61</v>
      </c>
      <c r="E31" s="133">
        <v>65</v>
      </c>
      <c r="F31" s="133">
        <v>77</v>
      </c>
      <c r="G31" s="133">
        <v>79</v>
      </c>
      <c r="H31" s="134">
        <v>50</v>
      </c>
      <c r="I31" s="129">
        <v>90</v>
      </c>
      <c r="J31" s="129">
        <v>80</v>
      </c>
      <c r="K31" s="129">
        <v>80</v>
      </c>
      <c r="L31" s="25">
        <v>76</v>
      </c>
      <c r="M31" s="136"/>
      <c r="N31" s="38">
        <v>1</v>
      </c>
      <c r="O31" s="131">
        <f t="shared" si="0"/>
        <v>62.2222222222222</v>
      </c>
      <c r="P31" s="132">
        <f t="shared" si="1"/>
        <v>7.04</v>
      </c>
      <c r="Q31" s="18"/>
      <c r="R31" s="18"/>
    </row>
    <row r="32" spans="1:18">
      <c r="A32" s="142">
        <v>30</v>
      </c>
      <c r="B32" s="10" t="s">
        <v>43</v>
      </c>
      <c r="C32" s="123">
        <v>76</v>
      </c>
      <c r="D32" s="133">
        <v>64</v>
      </c>
      <c r="E32" s="133">
        <v>76</v>
      </c>
      <c r="F32" s="133">
        <v>65</v>
      </c>
      <c r="G32" s="133">
        <v>75</v>
      </c>
      <c r="H32" s="134">
        <v>60</v>
      </c>
      <c r="I32" s="129">
        <v>80</v>
      </c>
      <c r="J32" s="143">
        <v>80</v>
      </c>
      <c r="K32" s="134">
        <v>80</v>
      </c>
      <c r="L32" s="144">
        <v>78</v>
      </c>
      <c r="M32" s="136"/>
      <c r="N32" s="38"/>
      <c r="O32" s="131">
        <f t="shared" si="0"/>
        <v>62.8888888888889</v>
      </c>
      <c r="P32" s="132">
        <f t="shared" si="1"/>
        <v>7.12</v>
      </c>
      <c r="Q32" s="18"/>
      <c r="R32" s="18"/>
    </row>
    <row r="33" spans="1:18">
      <c r="A33" s="122">
        <v>31</v>
      </c>
      <c r="B33" s="9" t="s">
        <v>44</v>
      </c>
      <c r="C33" s="123">
        <v>77</v>
      </c>
      <c r="D33" s="123">
        <v>34</v>
      </c>
      <c r="E33" s="123">
        <v>48</v>
      </c>
      <c r="F33" s="123">
        <v>25</v>
      </c>
      <c r="G33" s="123">
        <v>40</v>
      </c>
      <c r="H33" s="143">
        <v>50</v>
      </c>
      <c r="I33" s="143">
        <v>90</v>
      </c>
      <c r="J33" s="143">
        <v>70</v>
      </c>
      <c r="K33" s="143">
        <v>70</v>
      </c>
      <c r="L33" s="144">
        <v>65</v>
      </c>
      <c r="M33" s="136"/>
      <c r="N33" s="38">
        <v>5</v>
      </c>
      <c r="O33" s="131">
        <f t="shared" si="0"/>
        <v>46.6666666666667</v>
      </c>
      <c r="P33" s="132">
        <f t="shared" si="1"/>
        <v>6.6</v>
      </c>
      <c r="Q33" s="18"/>
      <c r="R33" s="18"/>
    </row>
    <row r="34" ht="16.35" spans="1:18">
      <c r="A34" s="145">
        <v>32</v>
      </c>
      <c r="B34" s="29" t="s">
        <v>45</v>
      </c>
      <c r="C34" s="146">
        <v>86</v>
      </c>
      <c r="D34" s="146">
        <v>78</v>
      </c>
      <c r="E34" s="146">
        <v>71</v>
      </c>
      <c r="F34" s="146">
        <v>84</v>
      </c>
      <c r="G34" s="146">
        <v>73</v>
      </c>
      <c r="H34" s="147">
        <v>50</v>
      </c>
      <c r="I34" s="147">
        <v>80</v>
      </c>
      <c r="J34" s="147">
        <v>90</v>
      </c>
      <c r="K34" s="147">
        <v>90</v>
      </c>
      <c r="L34" s="148">
        <v>86</v>
      </c>
      <c r="M34" s="149"/>
      <c r="N34" s="38">
        <v>1</v>
      </c>
      <c r="O34" s="131">
        <f t="shared" si="0"/>
        <v>67.6666666666667</v>
      </c>
      <c r="P34" s="132">
        <f t="shared" si="1"/>
        <v>7.44</v>
      </c>
      <c r="Q34" s="18"/>
      <c r="R34" s="18"/>
    </row>
    <row r="35" spans="1:18">
      <c r="A35" s="2"/>
      <c r="B35" s="150"/>
      <c r="L35" s="33" t="s">
        <v>46</v>
      </c>
      <c r="Q35" s="18"/>
    </row>
    <row r="36" spans="1:18">
      <c r="A36" s="2"/>
      <c r="B36" s="59"/>
      <c r="L36" s="78" t="s">
        <v>47</v>
      </c>
    </row>
    <row r="37" spans="1:18">
      <c r="A37" s="2"/>
      <c r="B37" s="59"/>
      <c r="J37" s="33"/>
      <c r="L37" s="78" t="s">
        <v>48</v>
      </c>
    </row>
    <row r="38" spans="1:18">
      <c r="J38" s="33"/>
      <c r="L38" s="112"/>
    </row>
    <row r="39" spans="1:18">
      <c r="J39" s="33"/>
    </row>
  </sheetData>
  <mergeCells count="1">
    <mergeCell ref="A1:K1"/>
  </mergeCells>
  <conditionalFormatting sqref="C3:L34">
    <cfRule type="cellIs" dxfId="0" priority="1" operator="lessThan">
      <formula>60</formula>
    </cfRule>
  </conditionalFormatting>
  <dataValidations count="1">
    <dataValidation type="whole" operator="greaterThanOrEqual" allowBlank="1" showInputMessage="1" showErrorMessage="1" sqref="C3:L34">
      <formula1>60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90" zoomScaleNormal="90" zoomScaleSheetLayoutView="60" workbookViewId="0">
      <selection activeCell="F3" sqref="F3:F34"/>
    </sheetView>
  </sheetViews>
  <sheetFormatPr defaultColWidth="8.8" defaultRowHeight="15.6"/>
  <cols>
    <col min="1" max="1" width="6.2" style="31" customWidth="1"/>
    <col min="2" max="2" width="10.1" style="31" customWidth="1"/>
    <col min="3" max="3" width="73" style="31" customWidth="1"/>
    <col min="4" max="4" width="7.2" style="31" customWidth="1"/>
    <col min="5" max="5" width="9.2" style="32" customWidth="1"/>
    <col min="6" max="6" width="10.7" style="43" customWidth="1"/>
    <col min="7" max="7" width="12.2" style="31" customWidth="1"/>
    <col min="8" max="8" width="5.4"/>
  </cols>
  <sheetData>
    <row r="1" ht="22.95" spans="1:10">
      <c r="A1" s="86" t="s">
        <v>49</v>
      </c>
      <c r="B1" s="86"/>
      <c r="C1" s="86"/>
      <c r="D1" s="86"/>
      <c r="E1" s="87"/>
      <c r="F1" s="86"/>
      <c r="G1" s="86"/>
    </row>
    <row r="2" spans="1:10">
      <c r="A2" s="88" t="s">
        <v>1</v>
      </c>
      <c r="B2" s="89" t="s">
        <v>2</v>
      </c>
      <c r="C2" s="89" t="s">
        <v>50</v>
      </c>
      <c r="D2" s="89" t="s">
        <v>51</v>
      </c>
      <c r="E2" s="90" t="s">
        <v>52</v>
      </c>
      <c r="F2" s="90" t="s">
        <v>53</v>
      </c>
      <c r="G2" s="7" t="s">
        <v>13</v>
      </c>
    </row>
    <row r="3" s="35" customFormat="1" ht="17.4" spans="1:10">
      <c r="A3" s="91">
        <v>1</v>
      </c>
      <c r="B3" s="92" t="s">
        <v>14</v>
      </c>
      <c r="C3" s="93" t="s">
        <v>54</v>
      </c>
      <c r="D3" s="94">
        <v>57</v>
      </c>
      <c r="E3" s="13">
        <v>3</v>
      </c>
      <c r="F3" s="54">
        <v>4.8</v>
      </c>
      <c r="G3" s="95"/>
      <c r="H3" s="42"/>
      <c r="J3" s="96"/>
    </row>
    <row r="4" s="35" customFormat="1" ht="17.4" spans="1:10">
      <c r="A4" s="91">
        <v>2</v>
      </c>
      <c r="B4" s="92" t="s">
        <v>15</v>
      </c>
      <c r="C4" s="93" t="s">
        <v>55</v>
      </c>
      <c r="D4" s="94">
        <v>66</v>
      </c>
      <c r="E4" s="13">
        <v>3</v>
      </c>
      <c r="F4" s="54">
        <v>4.4</v>
      </c>
      <c r="G4" s="95"/>
      <c r="H4" s="42"/>
    </row>
    <row r="5" s="35" customFormat="1" ht="17.4" spans="1:10">
      <c r="A5" s="91">
        <v>3</v>
      </c>
      <c r="B5" s="92" t="s">
        <v>16</v>
      </c>
      <c r="C5" s="93" t="s">
        <v>56</v>
      </c>
      <c r="D5" s="94">
        <v>74</v>
      </c>
      <c r="E5" s="13">
        <v>3</v>
      </c>
      <c r="F5" s="54">
        <v>5.2</v>
      </c>
      <c r="G5" s="95"/>
      <c r="H5" s="42"/>
    </row>
    <row r="6" s="35" customFormat="1" ht="17.4" spans="1:10">
      <c r="A6" s="91">
        <v>4</v>
      </c>
      <c r="B6" s="92" t="s">
        <v>17</v>
      </c>
      <c r="C6" s="93" t="s">
        <v>57</v>
      </c>
      <c r="D6" s="94">
        <v>83</v>
      </c>
      <c r="E6" s="13">
        <v>3</v>
      </c>
      <c r="F6" s="54">
        <v>5.2</v>
      </c>
      <c r="G6" s="95"/>
      <c r="H6" s="42"/>
    </row>
    <row r="7" s="35" customFormat="1" ht="17.4" spans="1:10">
      <c r="A7" s="91">
        <v>5</v>
      </c>
      <c r="B7" s="92" t="s">
        <v>18</v>
      </c>
      <c r="C7" s="93" t="s">
        <v>58</v>
      </c>
      <c r="D7" s="94">
        <v>63</v>
      </c>
      <c r="E7" s="13">
        <v>3</v>
      </c>
      <c r="F7" s="54">
        <v>4.8</v>
      </c>
      <c r="G7" s="95"/>
      <c r="H7" s="42"/>
    </row>
    <row r="8" s="35" customFormat="1" ht="17.4" spans="1:10">
      <c r="A8" s="91">
        <v>6</v>
      </c>
      <c r="B8" s="92" t="s">
        <v>19</v>
      </c>
      <c r="C8" s="93" t="s">
        <v>59</v>
      </c>
      <c r="D8" s="94">
        <v>85</v>
      </c>
      <c r="E8" s="13">
        <v>3</v>
      </c>
      <c r="F8" s="54">
        <v>4.8</v>
      </c>
      <c r="G8" s="95"/>
      <c r="H8" s="42"/>
    </row>
    <row r="9" s="35" customFormat="1" ht="17.4" spans="1:10">
      <c r="A9" s="91">
        <v>7</v>
      </c>
      <c r="B9" s="92" t="s">
        <v>20</v>
      </c>
      <c r="C9" s="93" t="s">
        <v>60</v>
      </c>
      <c r="D9" s="94">
        <v>75</v>
      </c>
      <c r="E9" s="13">
        <v>3</v>
      </c>
      <c r="F9" s="54">
        <v>5.8</v>
      </c>
      <c r="G9" s="95"/>
      <c r="H9" s="42"/>
    </row>
    <row r="10" s="35" customFormat="1" ht="17.4" spans="1:10">
      <c r="A10" s="91">
        <v>8</v>
      </c>
      <c r="B10" s="92" t="s">
        <v>21</v>
      </c>
      <c r="C10" s="93" t="s">
        <v>61</v>
      </c>
      <c r="D10" s="94">
        <v>76</v>
      </c>
      <c r="E10" s="13">
        <v>3</v>
      </c>
      <c r="F10" s="54">
        <v>4.8</v>
      </c>
      <c r="G10" s="95"/>
      <c r="H10" s="42"/>
    </row>
    <row r="11" s="35" customFormat="1" ht="17.4" spans="1:10">
      <c r="A11" s="91">
        <v>9</v>
      </c>
      <c r="B11" s="92" t="s">
        <v>22</v>
      </c>
      <c r="C11" s="93" t="s">
        <v>62</v>
      </c>
      <c r="D11" s="94">
        <v>68</v>
      </c>
      <c r="E11" s="13">
        <v>3</v>
      </c>
      <c r="F11" s="54">
        <v>4.8</v>
      </c>
      <c r="G11" s="95"/>
      <c r="H11" s="42"/>
    </row>
    <row r="12" s="35" customFormat="1" ht="17.4" spans="1:10">
      <c r="A12" s="91">
        <v>10</v>
      </c>
      <c r="B12" s="92" t="s">
        <v>23</v>
      </c>
      <c r="C12" s="93" t="s">
        <v>63</v>
      </c>
      <c r="D12" s="94">
        <v>94</v>
      </c>
      <c r="E12" s="13">
        <v>3</v>
      </c>
      <c r="F12" s="54">
        <v>5.8</v>
      </c>
      <c r="G12" s="95"/>
      <c r="H12" s="42"/>
    </row>
    <row r="13" s="35" customFormat="1" ht="17.4" spans="1:10">
      <c r="A13" s="91">
        <v>11</v>
      </c>
      <c r="B13" s="92" t="s">
        <v>24</v>
      </c>
      <c r="C13" s="93" t="s">
        <v>64</v>
      </c>
      <c r="D13" s="94">
        <v>98</v>
      </c>
      <c r="E13" s="13">
        <v>3</v>
      </c>
      <c r="F13" s="54">
        <v>4.8</v>
      </c>
      <c r="G13" s="95"/>
      <c r="H13" s="42"/>
    </row>
    <row r="14" s="35" customFormat="1" ht="17.4" spans="1:10">
      <c r="A14" s="91">
        <v>12</v>
      </c>
      <c r="B14" s="92" t="s">
        <v>25</v>
      </c>
      <c r="C14" s="93" t="s">
        <v>64</v>
      </c>
      <c r="D14" s="94">
        <v>102</v>
      </c>
      <c r="E14" s="13">
        <v>3</v>
      </c>
      <c r="F14" s="54">
        <v>4.8</v>
      </c>
      <c r="G14" s="95"/>
      <c r="H14" s="42"/>
    </row>
    <row r="15" s="35" customFormat="1" ht="17.4" spans="1:10">
      <c r="A15" s="97">
        <v>13</v>
      </c>
      <c r="B15" s="92" t="s">
        <v>26</v>
      </c>
      <c r="C15" s="93" t="s">
        <v>65</v>
      </c>
      <c r="D15" s="94">
        <v>124</v>
      </c>
      <c r="E15" s="13">
        <v>3</v>
      </c>
      <c r="F15" s="54">
        <v>4.5</v>
      </c>
      <c r="G15" s="95"/>
      <c r="H15" s="42"/>
    </row>
    <row r="16" s="35" customFormat="1" ht="17.4" spans="1:10">
      <c r="A16" s="91">
        <v>14</v>
      </c>
      <c r="B16" s="92" t="s">
        <v>27</v>
      </c>
      <c r="C16" s="93" t="s">
        <v>58</v>
      </c>
      <c r="D16" s="94">
        <v>72</v>
      </c>
      <c r="E16" s="13">
        <v>3</v>
      </c>
      <c r="F16" s="54">
        <v>4.8</v>
      </c>
      <c r="G16" s="95"/>
      <c r="H16" s="42"/>
    </row>
    <row r="17" s="35" customFormat="1" ht="17.4" spans="1:8">
      <c r="A17" s="91">
        <v>15</v>
      </c>
      <c r="B17" s="92" t="s">
        <v>28</v>
      </c>
      <c r="C17" s="93" t="s">
        <v>66</v>
      </c>
      <c r="D17" s="94">
        <v>92</v>
      </c>
      <c r="E17" s="13">
        <v>3</v>
      </c>
      <c r="F17" s="54">
        <v>4.8</v>
      </c>
      <c r="G17" s="95"/>
      <c r="H17" s="42"/>
    </row>
    <row r="18" s="35" customFormat="1" ht="17.4" spans="1:8">
      <c r="A18" s="91">
        <v>16</v>
      </c>
      <c r="B18" s="92" t="s">
        <v>29</v>
      </c>
      <c r="C18" s="93" t="s">
        <v>67</v>
      </c>
      <c r="D18" s="94">
        <v>73</v>
      </c>
      <c r="E18" s="13">
        <v>3</v>
      </c>
      <c r="F18" s="54">
        <v>5</v>
      </c>
      <c r="G18" s="95"/>
      <c r="H18" s="42"/>
    </row>
    <row r="19" s="35" customFormat="1" ht="15" customHeight="1" spans="1:8">
      <c r="A19" s="97">
        <v>17</v>
      </c>
      <c r="B19" s="92" t="s">
        <v>30</v>
      </c>
      <c r="C19" s="93" t="s">
        <v>68</v>
      </c>
      <c r="D19" s="94">
        <v>63</v>
      </c>
      <c r="E19" s="13">
        <v>3</v>
      </c>
      <c r="F19" s="54">
        <v>4.7</v>
      </c>
      <c r="G19" s="95"/>
      <c r="H19" s="42"/>
    </row>
    <row r="20" s="35" customFormat="1" ht="17.4" spans="1:8">
      <c r="A20" s="97">
        <v>18</v>
      </c>
      <c r="B20" s="92" t="s">
        <v>31</v>
      </c>
      <c r="C20" s="93" t="s">
        <v>69</v>
      </c>
      <c r="D20" s="94">
        <v>59</v>
      </c>
      <c r="E20" s="13">
        <v>3</v>
      </c>
      <c r="F20" s="54">
        <v>4.2</v>
      </c>
      <c r="G20" s="95"/>
      <c r="H20" s="42"/>
    </row>
    <row r="21" s="35" customFormat="1" ht="17.4" spans="1:8">
      <c r="A21" s="97">
        <v>19</v>
      </c>
      <c r="B21" s="92" t="s">
        <v>32</v>
      </c>
      <c r="C21" s="93" t="s">
        <v>70</v>
      </c>
      <c r="D21" s="94">
        <v>58</v>
      </c>
      <c r="E21" s="13">
        <v>3</v>
      </c>
      <c r="F21" s="54">
        <v>4.1</v>
      </c>
      <c r="G21" s="95"/>
      <c r="H21" s="42"/>
    </row>
    <row r="22" s="35" customFormat="1" ht="17.4" spans="1:8">
      <c r="A22" s="97">
        <v>20</v>
      </c>
      <c r="B22" s="92" t="s">
        <v>33</v>
      </c>
      <c r="C22" s="93" t="s">
        <v>71</v>
      </c>
      <c r="D22" s="94">
        <v>57</v>
      </c>
      <c r="E22" s="13">
        <v>3</v>
      </c>
      <c r="F22" s="54">
        <v>5.1</v>
      </c>
      <c r="G22" s="95"/>
      <c r="H22" s="42"/>
    </row>
    <row r="23" s="35" customFormat="1" ht="17.4" spans="1:8">
      <c r="A23" s="97">
        <v>21</v>
      </c>
      <c r="B23" s="92" t="s">
        <v>34</v>
      </c>
      <c r="C23" s="93" t="s">
        <v>66</v>
      </c>
      <c r="D23" s="94">
        <v>77</v>
      </c>
      <c r="E23" s="13">
        <v>3</v>
      </c>
      <c r="F23" s="54">
        <v>4.8</v>
      </c>
      <c r="G23" s="95"/>
      <c r="H23" s="42"/>
    </row>
    <row r="24" s="35" customFormat="1" ht="17.4" spans="1:8">
      <c r="A24" s="97">
        <v>22</v>
      </c>
      <c r="B24" s="92" t="s">
        <v>35</v>
      </c>
      <c r="C24" s="93" t="s">
        <v>72</v>
      </c>
      <c r="D24" s="94">
        <v>53</v>
      </c>
      <c r="E24" s="13">
        <v>3</v>
      </c>
      <c r="F24" s="54">
        <v>3.3</v>
      </c>
      <c r="G24" s="95"/>
      <c r="H24" s="42"/>
    </row>
    <row r="25" s="35" customFormat="1" ht="17.4" spans="1:8">
      <c r="A25" s="97">
        <v>23</v>
      </c>
      <c r="B25" s="92" t="s">
        <v>36</v>
      </c>
      <c r="C25" s="93" t="s">
        <v>73</v>
      </c>
      <c r="D25" s="94">
        <v>59</v>
      </c>
      <c r="E25" s="13">
        <v>3</v>
      </c>
      <c r="F25" s="54">
        <v>5</v>
      </c>
      <c r="G25" s="95"/>
      <c r="H25" s="42"/>
    </row>
    <row r="26" s="35" customFormat="1" ht="17.4" spans="1:8">
      <c r="A26" s="98">
        <v>24</v>
      </c>
      <c r="B26" s="92" t="s">
        <v>37</v>
      </c>
      <c r="C26" s="93" t="s">
        <v>74</v>
      </c>
      <c r="D26" s="94">
        <v>69</v>
      </c>
      <c r="E26" s="13">
        <v>3</v>
      </c>
      <c r="F26" s="54">
        <v>4.8</v>
      </c>
      <c r="G26" s="95"/>
      <c r="H26" s="42"/>
    </row>
    <row r="27" s="35" customFormat="1" ht="17.4" spans="1:8">
      <c r="A27" s="98">
        <v>25</v>
      </c>
      <c r="B27" s="92" t="s">
        <v>38</v>
      </c>
      <c r="C27" s="93" t="s">
        <v>60</v>
      </c>
      <c r="D27" s="94">
        <v>69</v>
      </c>
      <c r="E27" s="13">
        <v>3</v>
      </c>
      <c r="F27" s="54">
        <v>5.8</v>
      </c>
      <c r="G27" s="95"/>
      <c r="H27" s="42"/>
    </row>
    <row r="28" s="35" customFormat="1" ht="17.4" spans="1:8">
      <c r="A28" s="99">
        <v>26</v>
      </c>
      <c r="B28" s="92" t="s">
        <v>39</v>
      </c>
      <c r="C28" s="93" t="s">
        <v>75</v>
      </c>
      <c r="D28" s="94">
        <v>59</v>
      </c>
      <c r="E28" s="13">
        <v>3</v>
      </c>
      <c r="F28" s="54">
        <v>5.1</v>
      </c>
      <c r="G28" s="95"/>
      <c r="H28" s="42"/>
    </row>
    <row r="29" s="35" customFormat="1" ht="17.4" spans="1:8">
      <c r="A29" s="100">
        <v>27</v>
      </c>
      <c r="B29" s="92" t="s">
        <v>40</v>
      </c>
      <c r="C29" s="93" t="s">
        <v>76</v>
      </c>
      <c r="D29" s="94">
        <v>50</v>
      </c>
      <c r="E29" s="13">
        <v>3</v>
      </c>
      <c r="F29" s="54">
        <v>5.1</v>
      </c>
      <c r="G29" s="95"/>
      <c r="H29" s="42"/>
    </row>
    <row r="30" s="35" customFormat="1" ht="17.4" spans="1:8">
      <c r="A30" s="100">
        <v>28</v>
      </c>
      <c r="B30" s="92" t="s">
        <v>41</v>
      </c>
      <c r="C30" s="101" t="s">
        <v>62</v>
      </c>
      <c r="D30" s="94">
        <v>57</v>
      </c>
      <c r="E30" s="13">
        <v>3</v>
      </c>
      <c r="F30" s="54">
        <v>4.8</v>
      </c>
      <c r="G30" s="95"/>
      <c r="H30" s="42"/>
    </row>
    <row r="31" s="35" customFormat="1" ht="17.4" spans="1:8">
      <c r="A31" s="100">
        <v>29</v>
      </c>
      <c r="B31" s="92" t="s">
        <v>42</v>
      </c>
      <c r="C31" s="93" t="s">
        <v>77</v>
      </c>
      <c r="D31" s="94">
        <v>60</v>
      </c>
      <c r="E31" s="13">
        <v>3</v>
      </c>
      <c r="F31" s="54">
        <v>4.4</v>
      </c>
      <c r="G31" s="95"/>
      <c r="H31" s="42"/>
    </row>
    <row r="32" s="35" customFormat="1" ht="17.4" spans="1:8">
      <c r="A32" s="100">
        <v>30</v>
      </c>
      <c r="B32" s="92" t="s">
        <v>43</v>
      </c>
      <c r="C32" s="93" t="s">
        <v>78</v>
      </c>
      <c r="D32" s="94">
        <v>58</v>
      </c>
      <c r="E32" s="13">
        <v>3</v>
      </c>
      <c r="F32" s="54">
        <v>4.2</v>
      </c>
      <c r="G32" s="95"/>
      <c r="H32" s="42"/>
    </row>
    <row r="33" s="35" customFormat="1" ht="17.4" spans="1:8">
      <c r="A33" s="102">
        <v>31</v>
      </c>
      <c r="B33" s="103" t="s">
        <v>44</v>
      </c>
      <c r="C33" s="104" t="s">
        <v>79</v>
      </c>
      <c r="D33" s="105">
        <v>87</v>
      </c>
      <c r="E33" s="13">
        <v>3</v>
      </c>
      <c r="F33" s="54">
        <v>4.7</v>
      </c>
      <c r="G33" s="95"/>
    </row>
    <row r="34" s="35" customFormat="1" ht="16.35" spans="1:8">
      <c r="A34" s="106">
        <v>32</v>
      </c>
      <c r="B34" s="107" t="s">
        <v>80</v>
      </c>
      <c r="C34" s="108" t="s">
        <v>76</v>
      </c>
      <c r="D34" s="109">
        <v>49</v>
      </c>
      <c r="E34" s="110">
        <v>3</v>
      </c>
      <c r="F34" s="67">
        <v>5.1</v>
      </c>
      <c r="G34" s="111"/>
    </row>
    <row r="35" spans="1:8">
      <c r="F35" s="112" t="s">
        <v>46</v>
      </c>
      <c r="G35" s="112"/>
    </row>
    <row r="36" spans="1:8">
      <c r="F36" s="112" t="s">
        <v>47</v>
      </c>
      <c r="G36" s="112"/>
    </row>
    <row r="37" spans="1:8">
      <c r="F37" s="112" t="s">
        <v>48</v>
      </c>
      <c r="G37" s="112"/>
    </row>
    <row r="38" spans="1:8">
      <c r="F38" s="112"/>
      <c r="G38" s="112"/>
    </row>
    <row r="39" spans="1:8">
      <c r="G39" s="112"/>
      <c r="H39" s="112"/>
    </row>
    <row r="40" spans="1:8">
      <c r="F40" s="112"/>
      <c r="G40" s="112"/>
    </row>
    <row r="41" spans="1:8">
      <c r="G41" s="113"/>
    </row>
    <row r="42" spans="1:8">
      <c r="G42" s="113"/>
    </row>
    <row r="43" spans="1:8">
      <c r="G43" s="113"/>
    </row>
  </sheetData>
  <mergeCells count="6">
    <mergeCell ref="A1:G1"/>
    <mergeCell ref="F36:G36"/>
    <mergeCell ref="F37:G37"/>
    <mergeCell ref="F38:G38"/>
    <mergeCell ref="G39:H39"/>
    <mergeCell ref="F40:G40"/>
  </mergeCells>
  <conditionalFormatting sqref="D3:D34">
    <cfRule type="cellIs" dxfId="0" priority="1" operator="lessThan">
      <formula>40</formula>
    </cfRule>
  </conditionalFormatting>
  <pageMargins left="0.43" right="0.04" top="1.1" bottom="0.75" header="0.3" footer="0.3"/>
  <pageSetup paperSize="9" orientation="landscape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zoomScaleSheetLayoutView="60" workbookViewId="0">
      <selection activeCell="D40" sqref="D40"/>
    </sheetView>
  </sheetViews>
  <sheetFormatPr defaultColWidth="8.7" defaultRowHeight="15.6"/>
  <cols>
    <col min="1" max="2" width="6.2" customWidth="1"/>
    <col min="3" max="3" width="8.7" customWidth="1"/>
    <col min="4" max="4" width="6.2" customWidth="1"/>
    <col min="5" max="5" width="6.5"/>
    <col min="6" max="6" width="19.1666666666667" customWidth="1"/>
    <col min="7" max="7" width="7.5"/>
    <col min="8" max="8" width="25.0833333333333" customWidth="1"/>
    <col min="9" max="9" width="11.5" customWidth="1"/>
    <col min="10" max="10" width="14.9" customWidth="1"/>
    <col min="11" max="11" width="8.41666666666667"/>
  </cols>
  <sheetData>
    <row r="1" ht="22.95" spans="1:13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3">
      <c r="A2" s="47" t="s">
        <v>81</v>
      </c>
      <c r="B2" s="48" t="s">
        <v>1</v>
      </c>
      <c r="C2" s="48" t="s">
        <v>2</v>
      </c>
      <c r="D2" s="48" t="s">
        <v>82</v>
      </c>
      <c r="E2" s="48"/>
      <c r="F2" s="48"/>
      <c r="G2" s="48"/>
      <c r="H2" s="48" t="s">
        <v>83</v>
      </c>
      <c r="I2" s="48" t="s">
        <v>84</v>
      </c>
      <c r="J2" s="49" t="s">
        <v>13</v>
      </c>
    </row>
    <row r="3" spans="1:13">
      <c r="A3" s="50"/>
      <c r="B3" s="51"/>
      <c r="C3" s="51"/>
      <c r="D3" s="51" t="s">
        <v>85</v>
      </c>
      <c r="E3" s="51" t="s">
        <v>86</v>
      </c>
      <c r="F3" s="51" t="s">
        <v>87</v>
      </c>
      <c r="G3" s="51" t="s">
        <v>88</v>
      </c>
      <c r="H3" s="51"/>
      <c r="I3" s="51"/>
      <c r="J3" s="52"/>
      <c r="K3" s="18"/>
    </row>
    <row r="4" spans="1:13">
      <c r="A4" s="53" t="s">
        <v>89</v>
      </c>
      <c r="B4" s="9">
        <v>1</v>
      </c>
      <c r="C4" s="10" t="s">
        <v>14</v>
      </c>
      <c r="D4" s="54">
        <v>4.8</v>
      </c>
      <c r="E4" s="14"/>
      <c r="F4" s="55"/>
      <c r="G4" s="13">
        <f>IF(E4=0,IF(15+D4&gt;20,20,15+D4),14+D4-E4)</f>
        <v>19.8</v>
      </c>
      <c r="H4" s="56"/>
      <c r="I4" s="14"/>
      <c r="J4" s="57"/>
      <c r="K4" s="14"/>
      <c r="L4" s="58"/>
      <c r="M4" s="59"/>
    </row>
    <row r="5" spans="1:13">
      <c r="A5" s="53" t="s">
        <v>90</v>
      </c>
      <c r="B5" s="23">
        <v>2</v>
      </c>
      <c r="C5" s="10" t="s">
        <v>15</v>
      </c>
      <c r="D5" s="54">
        <v>4.4</v>
      </c>
      <c r="E5" s="60">
        <v>0.7</v>
      </c>
      <c r="F5" s="55" t="s">
        <v>91</v>
      </c>
      <c r="G5" s="13">
        <f t="shared" ref="G5:G35" si="0">IF(E5=0,IF(15+D5&gt;20,20,15+D5),14+D5-E5)</f>
        <v>17.7</v>
      </c>
      <c r="H5" s="56"/>
      <c r="I5" s="14"/>
      <c r="J5" s="57"/>
      <c r="K5" s="14"/>
      <c r="L5" s="58"/>
      <c r="M5" s="59"/>
    </row>
    <row r="6" ht="16.05" customHeight="1" spans="1:13">
      <c r="A6" s="53" t="s">
        <v>92</v>
      </c>
      <c r="B6" s="9">
        <v>3</v>
      </c>
      <c r="C6" s="10" t="s">
        <v>16</v>
      </c>
      <c r="D6" s="54">
        <v>5.2</v>
      </c>
      <c r="E6" s="61"/>
      <c r="F6" s="55"/>
      <c r="G6" s="13">
        <f t="shared" si="0"/>
        <v>20</v>
      </c>
      <c r="H6" s="56"/>
      <c r="I6" s="14"/>
      <c r="J6" s="57"/>
      <c r="K6" s="14"/>
      <c r="L6" s="58"/>
      <c r="M6" s="59"/>
    </row>
    <row r="7" ht="16.05" customHeight="1" spans="1:13">
      <c r="A7" s="53" t="s">
        <v>93</v>
      </c>
      <c r="B7" s="9">
        <v>4</v>
      </c>
      <c r="C7" s="10" t="s">
        <v>17</v>
      </c>
      <c r="D7" s="54">
        <v>5.2</v>
      </c>
      <c r="E7" s="60">
        <v>0.2</v>
      </c>
      <c r="F7" s="55" t="s">
        <v>94</v>
      </c>
      <c r="G7" s="13">
        <f t="shared" si="0"/>
        <v>19</v>
      </c>
      <c r="H7" s="56"/>
      <c r="I7" s="14"/>
      <c r="J7" s="57"/>
      <c r="K7" s="14"/>
      <c r="L7" s="58"/>
      <c r="M7" s="59"/>
    </row>
    <row r="8" ht="16.05" customHeight="1" spans="1:13">
      <c r="A8" s="53" t="s">
        <v>95</v>
      </c>
      <c r="B8" s="23">
        <v>5</v>
      </c>
      <c r="C8" s="10" t="s">
        <v>18</v>
      </c>
      <c r="D8" s="54">
        <v>4.8</v>
      </c>
      <c r="E8" s="60">
        <v>0.2</v>
      </c>
      <c r="F8" s="55" t="s">
        <v>94</v>
      </c>
      <c r="G8" s="13">
        <f t="shared" si="0"/>
        <v>18.6</v>
      </c>
      <c r="H8" s="56" t="s">
        <v>96</v>
      </c>
      <c r="I8" s="14">
        <v>2</v>
      </c>
      <c r="J8" s="57"/>
      <c r="K8" s="14"/>
      <c r="L8" s="58"/>
      <c r="M8" s="59"/>
    </row>
    <row r="9" ht="16.05" customHeight="1" spans="1:13">
      <c r="A9" s="53" t="s">
        <v>97</v>
      </c>
      <c r="B9" s="24">
        <v>6</v>
      </c>
      <c r="C9" s="10" t="s">
        <v>19</v>
      </c>
      <c r="D9" s="54">
        <v>4.8</v>
      </c>
      <c r="E9" s="60">
        <v>0.2</v>
      </c>
      <c r="F9" s="55" t="s">
        <v>94</v>
      </c>
      <c r="G9" s="13">
        <f t="shared" si="0"/>
        <v>18.6</v>
      </c>
      <c r="H9" s="56"/>
      <c r="I9" s="22"/>
      <c r="J9" s="57"/>
      <c r="K9" s="14"/>
      <c r="L9" s="58"/>
      <c r="M9" s="59"/>
    </row>
    <row r="10" ht="16.05" customHeight="1" spans="1:13">
      <c r="A10" s="53" t="s">
        <v>98</v>
      </c>
      <c r="B10" s="9">
        <v>7</v>
      </c>
      <c r="C10" s="10" t="s">
        <v>20</v>
      </c>
      <c r="D10" s="54">
        <v>5.8</v>
      </c>
      <c r="E10" s="60"/>
      <c r="F10" s="55"/>
      <c r="G10" s="13">
        <f t="shared" si="0"/>
        <v>20</v>
      </c>
      <c r="H10" s="56" t="s">
        <v>99</v>
      </c>
      <c r="I10" s="14">
        <v>0.4</v>
      </c>
      <c r="J10" s="57"/>
      <c r="K10" s="14"/>
      <c r="L10" s="58"/>
      <c r="M10" s="59"/>
    </row>
    <row r="11" ht="16.05" customHeight="1" spans="1:13">
      <c r="A11" s="53" t="s">
        <v>100</v>
      </c>
      <c r="B11" s="23">
        <v>8</v>
      </c>
      <c r="C11" s="10" t="s">
        <v>21</v>
      </c>
      <c r="D11" s="54">
        <v>4.8</v>
      </c>
      <c r="E11" s="60">
        <v>0.2</v>
      </c>
      <c r="F11" s="14" t="s">
        <v>94</v>
      </c>
      <c r="G11" s="13">
        <f t="shared" si="0"/>
        <v>18.6</v>
      </c>
      <c r="H11" s="56"/>
      <c r="I11" s="14"/>
      <c r="J11" s="57"/>
      <c r="K11" s="14"/>
      <c r="L11" s="58"/>
      <c r="M11" s="59"/>
    </row>
    <row r="12" spans="1:13">
      <c r="A12" s="53" t="s">
        <v>101</v>
      </c>
      <c r="B12" s="9">
        <v>9</v>
      </c>
      <c r="C12" s="10" t="s">
        <v>22</v>
      </c>
      <c r="D12" s="54">
        <v>4.8</v>
      </c>
      <c r="E12" s="60"/>
      <c r="F12" s="55"/>
      <c r="G12" s="13">
        <f t="shared" si="0"/>
        <v>19.8</v>
      </c>
      <c r="H12" s="56"/>
      <c r="I12" s="14"/>
      <c r="J12" s="57"/>
      <c r="K12" s="14"/>
      <c r="L12" s="58"/>
      <c r="M12" s="59"/>
    </row>
    <row r="13" spans="1:13">
      <c r="A13" s="53" t="s">
        <v>102</v>
      </c>
      <c r="B13" s="9">
        <v>10</v>
      </c>
      <c r="C13" s="10" t="s">
        <v>23</v>
      </c>
      <c r="D13" s="54">
        <v>5.8</v>
      </c>
      <c r="E13" s="60">
        <v>0.2</v>
      </c>
      <c r="F13" s="55" t="s">
        <v>94</v>
      </c>
      <c r="G13" s="13">
        <f t="shared" si="0"/>
        <v>19.6</v>
      </c>
      <c r="H13" s="56"/>
      <c r="I13" s="14"/>
      <c r="J13" s="57"/>
      <c r="K13" s="14"/>
      <c r="L13" s="58"/>
      <c r="M13" s="59"/>
    </row>
    <row r="14" spans="1:13">
      <c r="A14" s="53" t="s">
        <v>103</v>
      </c>
      <c r="B14" s="9">
        <v>11</v>
      </c>
      <c r="C14" s="9" t="s">
        <v>24</v>
      </c>
      <c r="D14" s="54">
        <v>4.8</v>
      </c>
      <c r="E14" s="60"/>
      <c r="F14" s="55"/>
      <c r="G14" s="13">
        <f t="shared" si="0"/>
        <v>19.8</v>
      </c>
      <c r="H14" s="56"/>
      <c r="I14" s="14"/>
      <c r="J14" s="62"/>
      <c r="K14" s="14"/>
      <c r="L14" s="58"/>
      <c r="M14" s="59"/>
    </row>
    <row r="15" spans="1:13">
      <c r="A15" s="53" t="s">
        <v>104</v>
      </c>
      <c r="B15" s="25">
        <v>12</v>
      </c>
      <c r="C15" s="10" t="s">
        <v>25</v>
      </c>
      <c r="D15" s="54">
        <v>4.8</v>
      </c>
      <c r="E15" s="60">
        <v>0.2</v>
      </c>
      <c r="F15" s="55" t="s">
        <v>94</v>
      </c>
      <c r="G15" s="13">
        <f t="shared" si="0"/>
        <v>18.6</v>
      </c>
      <c r="H15" s="56"/>
      <c r="I15" s="14"/>
      <c r="J15" s="57"/>
      <c r="K15" s="14"/>
      <c r="L15" s="58"/>
      <c r="M15" s="59"/>
    </row>
    <row r="16" spans="1:13">
      <c r="A16" s="53" t="s">
        <v>105</v>
      </c>
      <c r="B16" s="9">
        <v>13</v>
      </c>
      <c r="C16" s="10" t="s">
        <v>26</v>
      </c>
      <c r="D16" s="54">
        <v>4.5</v>
      </c>
      <c r="E16" s="60"/>
      <c r="F16" s="19"/>
      <c r="G16" s="13">
        <f t="shared" si="0"/>
        <v>19.5</v>
      </c>
      <c r="H16" s="56"/>
      <c r="I16" s="14"/>
      <c r="J16" s="57"/>
      <c r="K16" s="14"/>
      <c r="L16" s="58"/>
      <c r="M16" s="59"/>
    </row>
    <row r="17" spans="1:13">
      <c r="A17" s="53" t="s">
        <v>106</v>
      </c>
      <c r="B17" s="9">
        <v>14</v>
      </c>
      <c r="C17" s="10" t="s">
        <v>27</v>
      </c>
      <c r="D17" s="54">
        <v>4.8</v>
      </c>
      <c r="E17" s="60"/>
      <c r="F17" s="55"/>
      <c r="G17" s="13">
        <f t="shared" si="0"/>
        <v>19.8</v>
      </c>
      <c r="H17" s="56"/>
      <c r="I17" s="14"/>
      <c r="J17" s="57"/>
      <c r="K17" s="14"/>
      <c r="L17" s="58"/>
      <c r="M17" s="59"/>
    </row>
    <row r="18" spans="1:13">
      <c r="A18" s="53" t="s">
        <v>107</v>
      </c>
      <c r="B18" s="9">
        <v>15</v>
      </c>
      <c r="C18" s="10" t="s">
        <v>28</v>
      </c>
      <c r="D18" s="54">
        <v>4.8</v>
      </c>
      <c r="E18" s="60"/>
      <c r="F18" s="55"/>
      <c r="G18" s="13">
        <f t="shared" si="0"/>
        <v>19.8</v>
      </c>
      <c r="H18" s="56"/>
      <c r="I18" s="14"/>
      <c r="J18" s="57"/>
      <c r="K18" s="14"/>
      <c r="L18" s="58"/>
      <c r="M18" s="59"/>
    </row>
    <row r="19" spans="1:13">
      <c r="A19" s="53" t="s">
        <v>108</v>
      </c>
      <c r="B19" s="9">
        <v>16</v>
      </c>
      <c r="C19" s="10" t="s">
        <v>29</v>
      </c>
      <c r="D19" s="54">
        <v>5</v>
      </c>
      <c r="E19" s="60"/>
      <c r="F19" s="55"/>
      <c r="G19" s="13">
        <f t="shared" si="0"/>
        <v>20</v>
      </c>
      <c r="H19" s="56"/>
      <c r="I19" s="14"/>
      <c r="J19" s="57"/>
      <c r="K19" s="14"/>
      <c r="L19" s="58"/>
      <c r="M19" s="59"/>
    </row>
    <row r="20" spans="1:13">
      <c r="A20" s="53" t="s">
        <v>109</v>
      </c>
      <c r="B20" s="26">
        <v>17</v>
      </c>
      <c r="C20" s="10" t="s">
        <v>30</v>
      </c>
      <c r="D20" s="54">
        <v>4.7</v>
      </c>
      <c r="E20" s="60">
        <v>0.4</v>
      </c>
      <c r="F20" s="55" t="s">
        <v>110</v>
      </c>
      <c r="G20" s="13">
        <f t="shared" si="0"/>
        <v>18.3</v>
      </c>
      <c r="H20" s="56"/>
      <c r="I20" s="14"/>
      <c r="J20" s="57"/>
      <c r="K20" s="14"/>
      <c r="L20" s="58"/>
      <c r="M20" s="59"/>
    </row>
    <row r="21" spans="1:13">
      <c r="A21" s="53" t="s">
        <v>111</v>
      </c>
      <c r="B21" s="25">
        <v>18</v>
      </c>
      <c r="C21" s="10" t="s">
        <v>31</v>
      </c>
      <c r="D21" s="54">
        <v>4.2</v>
      </c>
      <c r="E21" s="60"/>
      <c r="F21" s="55"/>
      <c r="G21" s="13">
        <f t="shared" si="0"/>
        <v>19.2</v>
      </c>
      <c r="H21" s="56"/>
      <c r="I21" s="14"/>
      <c r="J21" s="57"/>
      <c r="K21" s="14"/>
      <c r="L21" s="58"/>
      <c r="M21" s="59"/>
    </row>
    <row r="22" spans="1:13">
      <c r="A22" s="53" t="s">
        <v>112</v>
      </c>
      <c r="B22" s="23">
        <v>19</v>
      </c>
      <c r="C22" s="10" t="s">
        <v>32</v>
      </c>
      <c r="D22" s="54">
        <v>4.1</v>
      </c>
      <c r="E22" s="60"/>
      <c r="F22" s="55"/>
      <c r="G22" s="13">
        <f t="shared" si="0"/>
        <v>19.1</v>
      </c>
      <c r="H22" s="56"/>
      <c r="I22" s="14"/>
      <c r="J22" s="57"/>
      <c r="K22" s="14"/>
      <c r="L22" s="58"/>
      <c r="M22" s="59"/>
    </row>
    <row r="23" spans="1:13">
      <c r="A23" s="53" t="s">
        <v>113</v>
      </c>
      <c r="B23" s="25">
        <v>20</v>
      </c>
      <c r="C23" s="10" t="s">
        <v>33</v>
      </c>
      <c r="D23" s="54">
        <v>5.1</v>
      </c>
      <c r="E23" s="60"/>
      <c r="F23" s="55"/>
      <c r="G23" s="13">
        <f t="shared" si="0"/>
        <v>20</v>
      </c>
      <c r="H23" s="56"/>
      <c r="I23" s="14"/>
      <c r="J23" s="57"/>
      <c r="K23" s="14"/>
      <c r="L23" s="58"/>
      <c r="M23" s="59"/>
    </row>
    <row r="24" spans="1:13">
      <c r="A24" s="53" t="s">
        <v>114</v>
      </c>
      <c r="B24" s="26">
        <v>21</v>
      </c>
      <c r="C24" s="10" t="s">
        <v>34</v>
      </c>
      <c r="D24" s="54">
        <v>4.8</v>
      </c>
      <c r="E24" s="60"/>
      <c r="F24" s="55"/>
      <c r="G24" s="13">
        <f t="shared" si="0"/>
        <v>19.8</v>
      </c>
      <c r="H24" s="56"/>
      <c r="I24" s="14"/>
      <c r="J24" s="57"/>
      <c r="K24" s="14"/>
      <c r="L24" s="58"/>
      <c r="M24" s="59"/>
    </row>
    <row r="25" spans="1:13">
      <c r="A25" s="53" t="s">
        <v>115</v>
      </c>
      <c r="B25" s="9">
        <v>22</v>
      </c>
      <c r="C25" s="10" t="s">
        <v>35</v>
      </c>
      <c r="D25" s="54">
        <v>3.3</v>
      </c>
      <c r="E25" s="60"/>
      <c r="F25" s="55"/>
      <c r="G25" s="13">
        <f t="shared" si="0"/>
        <v>18.3</v>
      </c>
      <c r="H25" s="56"/>
      <c r="I25" s="14"/>
      <c r="J25" s="57"/>
      <c r="K25" s="14"/>
      <c r="L25" s="58"/>
      <c r="M25" s="59"/>
    </row>
    <row r="26" spans="1:13">
      <c r="A26" s="53" t="s">
        <v>116</v>
      </c>
      <c r="B26" s="24">
        <v>23</v>
      </c>
      <c r="C26" s="10" t="s">
        <v>36</v>
      </c>
      <c r="D26" s="54">
        <v>5</v>
      </c>
      <c r="E26" s="60"/>
      <c r="F26" s="55"/>
      <c r="G26" s="13">
        <f t="shared" si="0"/>
        <v>20</v>
      </c>
      <c r="H26" s="56"/>
      <c r="I26" s="22"/>
      <c r="J26" s="57"/>
      <c r="K26" s="14"/>
      <c r="L26" s="58"/>
      <c r="M26" s="59"/>
    </row>
    <row r="27" spans="1:13">
      <c r="A27" s="53" t="s">
        <v>117</v>
      </c>
      <c r="B27" s="23">
        <v>24</v>
      </c>
      <c r="C27" s="10" t="s">
        <v>37</v>
      </c>
      <c r="D27" s="54">
        <v>4.8</v>
      </c>
      <c r="E27" s="60"/>
      <c r="F27" s="55"/>
      <c r="G27" s="13">
        <f t="shared" si="0"/>
        <v>19.8</v>
      </c>
      <c r="H27" s="56"/>
      <c r="I27" s="14"/>
      <c r="J27" s="57"/>
      <c r="K27" s="14"/>
      <c r="L27" s="58"/>
      <c r="M27" s="59"/>
    </row>
    <row r="28" spans="1:13">
      <c r="A28" s="53" t="s">
        <v>118</v>
      </c>
      <c r="B28" s="27">
        <v>25</v>
      </c>
      <c r="C28" s="10" t="s">
        <v>38</v>
      </c>
      <c r="D28" s="54">
        <v>5.8</v>
      </c>
      <c r="E28" s="60"/>
      <c r="F28" s="63"/>
      <c r="G28" s="13">
        <f t="shared" si="0"/>
        <v>20</v>
      </c>
      <c r="H28" s="56"/>
      <c r="I28" s="14"/>
      <c r="J28" s="57"/>
      <c r="K28" s="14"/>
      <c r="L28" s="58"/>
      <c r="M28" s="59"/>
    </row>
    <row r="29" spans="1:13">
      <c r="A29" s="53" t="s">
        <v>119</v>
      </c>
      <c r="B29" s="9">
        <v>26</v>
      </c>
      <c r="C29" s="10" t="s">
        <v>39</v>
      </c>
      <c r="D29" s="54">
        <v>5.1</v>
      </c>
      <c r="E29" s="60"/>
      <c r="F29" s="55"/>
      <c r="G29" s="13">
        <f t="shared" si="0"/>
        <v>20</v>
      </c>
      <c r="H29" s="56"/>
      <c r="I29" s="14"/>
      <c r="J29" s="57"/>
      <c r="K29" s="14"/>
      <c r="L29" s="58"/>
      <c r="M29" s="59"/>
    </row>
    <row r="30" spans="1:13">
      <c r="A30" s="53" t="s">
        <v>120</v>
      </c>
      <c r="B30" s="9">
        <v>27</v>
      </c>
      <c r="C30" s="10" t="s">
        <v>40</v>
      </c>
      <c r="D30" s="54">
        <v>5.1</v>
      </c>
      <c r="E30" s="60"/>
      <c r="F30" s="63"/>
      <c r="G30" s="13">
        <f t="shared" si="0"/>
        <v>20</v>
      </c>
      <c r="H30" s="56"/>
      <c r="I30" s="22"/>
      <c r="J30" s="57"/>
      <c r="K30" s="14"/>
      <c r="L30" s="58"/>
      <c r="M30" s="59"/>
    </row>
    <row r="31" ht="16.05" customHeight="1" spans="1:13">
      <c r="A31" s="53" t="s">
        <v>121</v>
      </c>
      <c r="B31" s="25">
        <v>28</v>
      </c>
      <c r="C31" s="10" t="s">
        <v>41</v>
      </c>
      <c r="D31" s="54">
        <v>4.8</v>
      </c>
      <c r="E31" s="60">
        <v>0.7</v>
      </c>
      <c r="F31" s="55" t="s">
        <v>91</v>
      </c>
      <c r="G31" s="13">
        <f t="shared" si="0"/>
        <v>18.1</v>
      </c>
      <c r="H31" s="56"/>
      <c r="I31" s="14"/>
      <c r="J31" s="57"/>
      <c r="K31" s="14"/>
      <c r="L31" s="58"/>
      <c r="M31" s="58"/>
    </row>
    <row r="32" ht="16.05" customHeight="1" spans="1:13">
      <c r="A32" s="53" t="s">
        <v>122</v>
      </c>
      <c r="B32" s="9">
        <v>29</v>
      </c>
      <c r="C32" s="10" t="s">
        <v>42</v>
      </c>
      <c r="D32" s="54">
        <v>4.4</v>
      </c>
      <c r="E32" s="60">
        <v>0.7</v>
      </c>
      <c r="F32" s="55" t="s">
        <v>91</v>
      </c>
      <c r="G32" s="13">
        <f t="shared" si="0"/>
        <v>17.7</v>
      </c>
      <c r="H32" s="56"/>
      <c r="I32" s="14"/>
      <c r="J32" s="57"/>
      <c r="K32" s="14"/>
      <c r="L32" s="58"/>
      <c r="M32" s="59"/>
    </row>
    <row r="33" ht="16.05" customHeight="1" spans="1:13">
      <c r="A33" s="53" t="s">
        <v>123</v>
      </c>
      <c r="B33" s="23">
        <v>30</v>
      </c>
      <c r="C33" s="10" t="s">
        <v>43</v>
      </c>
      <c r="D33" s="54">
        <v>4.2</v>
      </c>
      <c r="E33" s="60">
        <v>0.4</v>
      </c>
      <c r="F33" s="55" t="s">
        <v>110</v>
      </c>
      <c r="G33" s="13">
        <f t="shared" si="0"/>
        <v>17.8</v>
      </c>
      <c r="H33" s="56"/>
      <c r="I33" s="14"/>
      <c r="J33" s="57"/>
      <c r="K33" s="14"/>
      <c r="L33" s="58"/>
      <c r="M33" s="59"/>
    </row>
    <row r="34" spans="1:13">
      <c r="A34" s="53" t="s">
        <v>124</v>
      </c>
      <c r="B34" s="9">
        <v>31</v>
      </c>
      <c r="C34" s="9" t="s">
        <v>44</v>
      </c>
      <c r="D34" s="54">
        <v>4.7</v>
      </c>
      <c r="E34" s="60"/>
      <c r="F34" s="19"/>
      <c r="G34" s="13">
        <f t="shared" si="0"/>
        <v>19.7</v>
      </c>
      <c r="H34" s="56"/>
      <c r="I34" s="14"/>
      <c r="J34" s="57"/>
      <c r="K34" s="14"/>
      <c r="L34" s="58"/>
      <c r="M34" s="59"/>
    </row>
    <row r="35" ht="16.35" spans="1:13">
      <c r="A35" s="64" t="s">
        <v>125</v>
      </c>
      <c r="B35" s="65">
        <v>32</v>
      </c>
      <c r="C35" s="66" t="s">
        <v>45</v>
      </c>
      <c r="D35" s="67">
        <v>5.1</v>
      </c>
      <c r="E35" s="68"/>
      <c r="F35" s="69"/>
      <c r="G35" s="13">
        <f t="shared" si="0"/>
        <v>20</v>
      </c>
      <c r="H35" s="70"/>
      <c r="I35" s="68"/>
      <c r="J35" s="71"/>
      <c r="K35" s="14"/>
      <c r="L35" s="58"/>
      <c r="M35" s="58"/>
    </row>
    <row r="36" spans="1:13">
      <c r="A36" s="72"/>
      <c r="B36" s="73"/>
      <c r="C36" s="73"/>
      <c r="D36" s="74"/>
      <c r="E36" s="74"/>
      <c r="F36" s="73"/>
      <c r="G36" s="73"/>
      <c r="H36" s="75"/>
      <c r="I36" s="33" t="s">
        <v>46</v>
      </c>
      <c r="J36" s="76"/>
      <c r="L36" s="77"/>
      <c r="M36" s="77"/>
    </row>
    <row r="37" spans="1:13">
      <c r="A37" s="72"/>
      <c r="B37" s="73"/>
      <c r="C37" s="73"/>
      <c r="D37" s="74"/>
      <c r="E37" s="74"/>
      <c r="F37" s="73"/>
      <c r="G37" s="73"/>
      <c r="H37" s="73"/>
      <c r="I37" s="78" t="s">
        <v>47</v>
      </c>
      <c r="J37" s="76"/>
    </row>
    <row r="38" spans="1:13">
      <c r="A38" s="72"/>
      <c r="B38" s="79"/>
      <c r="C38" s="79"/>
      <c r="D38" s="43"/>
      <c r="E38" s="43"/>
      <c r="F38" s="79"/>
      <c r="G38" s="79"/>
      <c r="H38" s="79"/>
      <c r="I38" s="78" t="s">
        <v>48</v>
      </c>
      <c r="J38" s="33"/>
    </row>
    <row r="39" spans="1:13">
      <c r="A39" s="72"/>
      <c r="B39" s="79"/>
      <c r="C39" s="79"/>
      <c r="D39" s="43"/>
      <c r="E39" s="43"/>
      <c r="F39" s="79"/>
      <c r="G39" s="79"/>
      <c r="H39" s="79"/>
      <c r="J39" s="33"/>
    </row>
    <row r="40" spans="1:13">
      <c r="A40" s="72"/>
      <c r="B40" s="72"/>
      <c r="C40" s="72"/>
      <c r="D40" s="74"/>
      <c r="E40" s="74"/>
      <c r="F40" s="80"/>
      <c r="G40" s="80"/>
      <c r="H40" s="80"/>
      <c r="J40" s="78"/>
    </row>
    <row r="41" spans="1:13">
      <c r="A41" s="81"/>
      <c r="B41" s="72"/>
      <c r="C41" s="72"/>
      <c r="D41" s="74"/>
      <c r="E41" s="74"/>
      <c r="F41" s="80"/>
      <c r="G41" s="80"/>
      <c r="H41" s="80"/>
      <c r="J41" s="78"/>
    </row>
    <row r="42" spans="1:13">
      <c r="B42" s="81"/>
      <c r="C42" s="82"/>
      <c r="D42" s="83"/>
      <c r="E42" s="84"/>
      <c r="F42" s="80"/>
      <c r="G42" s="80"/>
      <c r="H42" s="85"/>
      <c r="I42" s="81"/>
    </row>
  </sheetData>
  <sortState ref="B4:I36">
    <sortCondition ref="B4"/>
  </sortState>
  <mergeCells count="8">
    <mergeCell ref="A1:J1"/>
    <mergeCell ref="D2:G2"/>
    <mergeCell ref="A2:A3"/>
    <mergeCell ref="B2:B3"/>
    <mergeCell ref="C2:C3"/>
    <mergeCell ref="H2:H3"/>
    <mergeCell ref="I2:I3"/>
    <mergeCell ref="J2:J3"/>
  </mergeCells>
  <pageMargins left="0.7" right="0.7" top="0.75" bottom="0.75" header="0.3" footer="0.3"/>
  <pageSetup paperSize="9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zoomScaleSheetLayoutView="60" workbookViewId="0">
      <selection activeCell="G23" sqref="G23"/>
    </sheetView>
  </sheetViews>
  <sheetFormatPr defaultColWidth="8.8" defaultRowHeight="15.6"/>
  <cols>
    <col min="1" max="2" width="6.2"/>
    <col min="3" max="3" width="8.7" customWidth="1"/>
    <col min="4" max="6" width="9.2" style="34"/>
    <col min="7" max="7" width="6.5" style="35"/>
    <col min="8" max="8" width="8.5" style="1"/>
    <col min="9" max="9" width="7.2"/>
    <col min="10" max="10" width="9.2" style="2"/>
    <col min="11" max="11" width="13.4" customWidth="1"/>
    <col min="14" max="14" width="12.6666666666667"/>
  </cols>
  <sheetData>
    <row r="1" ht="22.95" spans="1:17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7">
      <c r="A2" s="4" t="s">
        <v>81</v>
      </c>
      <c r="B2" s="5" t="s">
        <v>1</v>
      </c>
      <c r="C2" s="5" t="s">
        <v>2</v>
      </c>
      <c r="D2" s="6" t="s">
        <v>127</v>
      </c>
      <c r="E2" s="6" t="s">
        <v>128</v>
      </c>
      <c r="F2" s="6" t="s">
        <v>82</v>
      </c>
      <c r="G2" s="5" t="s">
        <v>129</v>
      </c>
      <c r="H2" s="6" t="s">
        <v>53</v>
      </c>
      <c r="I2" s="5" t="s">
        <v>130</v>
      </c>
      <c r="J2" s="5" t="s">
        <v>131</v>
      </c>
      <c r="K2" s="7" t="s">
        <v>13</v>
      </c>
      <c r="M2" s="36"/>
    </row>
    <row r="3" spans="1:17">
      <c r="A3" s="37" t="s">
        <v>89</v>
      </c>
      <c r="B3" s="9">
        <v>1</v>
      </c>
      <c r="C3" s="10" t="s">
        <v>14</v>
      </c>
      <c r="D3" s="11">
        <v>55</v>
      </c>
      <c r="E3" s="12">
        <v>7.24</v>
      </c>
      <c r="F3" s="13">
        <v>19.8</v>
      </c>
      <c r="G3" s="14"/>
      <c r="H3" s="14">
        <f t="shared" ref="H3:H34" si="0">SUM(D3:G3)-I3*3</f>
        <v>73.04</v>
      </c>
      <c r="I3" s="15">
        <v>3</v>
      </c>
      <c r="J3" s="16"/>
      <c r="K3" s="17"/>
      <c r="L3" s="38"/>
      <c r="M3" s="39"/>
      <c r="O3" s="39"/>
    </row>
    <row r="4" spans="1:17">
      <c r="A4" s="2" t="s">
        <v>90</v>
      </c>
      <c r="B4" s="9">
        <v>2</v>
      </c>
      <c r="C4" s="10" t="s">
        <v>15</v>
      </c>
      <c r="D4" s="11">
        <v>52.7777777777778</v>
      </c>
      <c r="E4" s="12">
        <v>6.88</v>
      </c>
      <c r="F4" s="13">
        <v>17.7</v>
      </c>
      <c r="G4" s="14"/>
      <c r="H4" s="14">
        <f t="shared" si="0"/>
        <v>68.3577777777778</v>
      </c>
      <c r="I4" s="15">
        <v>3</v>
      </c>
      <c r="J4" s="19"/>
      <c r="K4" s="20"/>
      <c r="L4" s="38"/>
      <c r="M4" s="39"/>
      <c r="O4" s="39"/>
    </row>
    <row r="5" spans="1:17">
      <c r="A5" s="37" t="s">
        <v>92</v>
      </c>
      <c r="B5" s="9">
        <v>3</v>
      </c>
      <c r="C5" s="10" t="s">
        <v>16</v>
      </c>
      <c r="D5" s="11">
        <v>73.4444444444444</v>
      </c>
      <c r="E5" s="12">
        <v>7.84</v>
      </c>
      <c r="F5" s="13">
        <v>20</v>
      </c>
      <c r="G5" s="14"/>
      <c r="H5" s="14">
        <f t="shared" si="0"/>
        <v>101.284444444444</v>
      </c>
      <c r="I5" s="15"/>
      <c r="J5" s="16"/>
      <c r="K5" s="17"/>
      <c r="L5" s="38"/>
      <c r="M5" s="39"/>
      <c r="O5" s="39"/>
    </row>
    <row r="6" spans="1:17">
      <c r="A6" s="37" t="s">
        <v>93</v>
      </c>
      <c r="B6" s="9">
        <v>4</v>
      </c>
      <c r="C6" s="10" t="s">
        <v>17</v>
      </c>
      <c r="D6" s="11">
        <v>72.4444444444444</v>
      </c>
      <c r="E6" s="12">
        <v>7.84</v>
      </c>
      <c r="F6" s="13">
        <v>19</v>
      </c>
      <c r="G6" s="14"/>
      <c r="H6" s="14">
        <f t="shared" si="0"/>
        <v>99.2844444444444</v>
      </c>
      <c r="I6" s="15"/>
      <c r="J6" s="16"/>
      <c r="K6" s="21"/>
      <c r="L6" s="38"/>
      <c r="M6" s="39"/>
      <c r="O6" s="39"/>
    </row>
    <row r="7" spans="1:17">
      <c r="A7" s="37" t="s">
        <v>95</v>
      </c>
      <c r="B7" s="9">
        <v>5</v>
      </c>
      <c r="C7" s="10" t="s">
        <v>18</v>
      </c>
      <c r="D7" s="11">
        <v>61.5555555555556</v>
      </c>
      <c r="E7" s="12">
        <v>7.52</v>
      </c>
      <c r="F7" s="13">
        <v>18.6</v>
      </c>
      <c r="G7" s="14">
        <v>2</v>
      </c>
      <c r="H7" s="14">
        <f t="shared" si="0"/>
        <v>89.6755555555556</v>
      </c>
      <c r="I7" s="15"/>
      <c r="J7" s="16"/>
      <c r="K7" s="20"/>
      <c r="L7" s="38"/>
      <c r="M7" s="39"/>
      <c r="O7" s="39"/>
    </row>
    <row r="8" spans="1:17">
      <c r="A8" s="37" t="s">
        <v>97</v>
      </c>
      <c r="B8" s="9">
        <v>6</v>
      </c>
      <c r="C8" s="10" t="s">
        <v>19</v>
      </c>
      <c r="D8" s="11">
        <v>68.5555555555556</v>
      </c>
      <c r="E8" s="12">
        <v>7.36</v>
      </c>
      <c r="F8" s="13">
        <v>18.6</v>
      </c>
      <c r="G8" s="22"/>
      <c r="H8" s="14">
        <f t="shared" si="0"/>
        <v>94.5155555555556</v>
      </c>
      <c r="I8" s="15"/>
      <c r="J8" s="16"/>
      <c r="K8" s="21"/>
      <c r="L8" s="38"/>
      <c r="M8" s="39"/>
      <c r="O8" s="39"/>
    </row>
    <row r="9" spans="1:17">
      <c r="A9" s="37" t="s">
        <v>98</v>
      </c>
      <c r="B9" s="23">
        <v>7</v>
      </c>
      <c r="C9" s="10" t="s">
        <v>20</v>
      </c>
      <c r="D9" s="11">
        <v>69.8888888888889</v>
      </c>
      <c r="E9" s="12">
        <v>7.36</v>
      </c>
      <c r="F9" s="13">
        <v>20</v>
      </c>
      <c r="G9" s="14">
        <v>0.4</v>
      </c>
      <c r="H9" s="14">
        <f t="shared" si="0"/>
        <v>97.6488888888889</v>
      </c>
      <c r="I9" s="15"/>
      <c r="J9" s="16"/>
      <c r="K9" s="21"/>
      <c r="L9" s="38"/>
      <c r="O9" s="39"/>
    </row>
    <row r="10" spans="1:17">
      <c r="A10" s="37" t="s">
        <v>100</v>
      </c>
      <c r="B10" s="24">
        <v>8</v>
      </c>
      <c r="C10" s="10" t="s">
        <v>21</v>
      </c>
      <c r="D10" s="11">
        <v>66</v>
      </c>
      <c r="E10" s="12">
        <v>6.92</v>
      </c>
      <c r="F10" s="13">
        <v>18.6</v>
      </c>
      <c r="G10" s="14"/>
      <c r="H10" s="14">
        <f t="shared" si="0"/>
        <v>91.52</v>
      </c>
      <c r="I10" s="15"/>
      <c r="J10" s="16"/>
      <c r="K10" s="21"/>
      <c r="L10" s="38"/>
      <c r="O10" s="39"/>
    </row>
    <row r="11" ht="16.35" spans="1:17">
      <c r="A11" s="40" t="s">
        <v>101</v>
      </c>
      <c r="B11" s="25">
        <v>9</v>
      </c>
      <c r="C11" s="10" t="s">
        <v>22</v>
      </c>
      <c r="D11" s="11">
        <v>76.4444444444444</v>
      </c>
      <c r="E11" s="12">
        <v>7.44</v>
      </c>
      <c r="F11" s="13">
        <v>19.8</v>
      </c>
      <c r="G11" s="14"/>
      <c r="H11" s="14">
        <f t="shared" si="0"/>
        <v>103.684444444444</v>
      </c>
      <c r="I11" s="15"/>
      <c r="J11" s="16"/>
      <c r="K11" s="21"/>
      <c r="L11" s="38"/>
      <c r="O11" s="39"/>
    </row>
    <row r="12" spans="1:17">
      <c r="A12" s="37" t="s">
        <v>102</v>
      </c>
      <c r="B12" s="26">
        <v>10</v>
      </c>
      <c r="C12" s="10" t="s">
        <v>23</v>
      </c>
      <c r="D12" s="11">
        <v>70.4444444444444</v>
      </c>
      <c r="E12" s="12">
        <v>7.2</v>
      </c>
      <c r="F12" s="13">
        <v>19.6</v>
      </c>
      <c r="G12" s="14"/>
      <c r="H12" s="14">
        <f t="shared" si="0"/>
        <v>97.2444444444444</v>
      </c>
      <c r="I12" s="15"/>
      <c r="J12" s="16"/>
      <c r="K12" s="20"/>
      <c r="L12" s="38"/>
      <c r="O12" s="39"/>
    </row>
    <row r="13" spans="1:17">
      <c r="A13" s="37" t="s">
        <v>103</v>
      </c>
      <c r="B13" s="23">
        <v>11</v>
      </c>
      <c r="C13" s="10" t="s">
        <v>24</v>
      </c>
      <c r="D13" s="11">
        <v>58.6666666666667</v>
      </c>
      <c r="E13" s="12">
        <v>6.84</v>
      </c>
      <c r="F13" s="13">
        <v>19.8</v>
      </c>
      <c r="G13" s="14"/>
      <c r="H13" s="14">
        <f t="shared" si="0"/>
        <v>79.3066666666667</v>
      </c>
      <c r="I13" s="15">
        <v>2</v>
      </c>
      <c r="J13" s="16"/>
      <c r="K13" s="21"/>
      <c r="L13" s="38"/>
      <c r="O13" s="39"/>
    </row>
    <row r="14" spans="1:17">
      <c r="A14" s="37" t="s">
        <v>104</v>
      </c>
      <c r="B14" s="23">
        <v>12</v>
      </c>
      <c r="C14" s="10" t="s">
        <v>25</v>
      </c>
      <c r="D14" s="11">
        <v>63.8888888888889</v>
      </c>
      <c r="E14" s="12">
        <v>7.08</v>
      </c>
      <c r="F14" s="13">
        <v>18.6</v>
      </c>
      <c r="G14" s="14"/>
      <c r="H14" s="14">
        <f t="shared" si="0"/>
        <v>89.5688888888889</v>
      </c>
      <c r="I14" s="15"/>
      <c r="J14" s="16"/>
      <c r="K14" s="20"/>
      <c r="L14" s="38"/>
      <c r="O14" s="39"/>
      <c r="Q14" s="2"/>
    </row>
    <row r="15" spans="1:17">
      <c r="A15" s="37" t="s">
        <v>105</v>
      </c>
      <c r="B15" s="9">
        <v>13</v>
      </c>
      <c r="C15" s="10" t="s">
        <v>26</v>
      </c>
      <c r="D15" s="11">
        <v>55.2222222222222</v>
      </c>
      <c r="E15" s="12">
        <v>6.4</v>
      </c>
      <c r="F15" s="13">
        <v>19.5</v>
      </c>
      <c r="G15" s="14"/>
      <c r="H15" s="14">
        <f t="shared" si="0"/>
        <v>69.1222222222222</v>
      </c>
      <c r="I15" s="15">
        <v>4</v>
      </c>
      <c r="J15" s="16"/>
      <c r="K15" s="21"/>
      <c r="L15" s="38"/>
      <c r="O15" s="39"/>
    </row>
    <row r="16" spans="1:17">
      <c r="A16" s="37" t="s">
        <v>106</v>
      </c>
      <c r="B16" s="9">
        <v>14</v>
      </c>
      <c r="C16" s="10" t="s">
        <v>27</v>
      </c>
      <c r="D16" s="11">
        <v>64.4444444444444</v>
      </c>
      <c r="E16" s="12">
        <v>7.04</v>
      </c>
      <c r="F16" s="13">
        <v>19.8</v>
      </c>
      <c r="G16" s="14"/>
      <c r="H16" s="14">
        <f t="shared" si="0"/>
        <v>91.2844444444444</v>
      </c>
      <c r="I16" s="15"/>
      <c r="J16" s="16"/>
      <c r="K16" s="21"/>
      <c r="L16" s="38"/>
      <c r="O16" s="39"/>
    </row>
    <row r="17" spans="1:15">
      <c r="A17" s="37" t="s">
        <v>107</v>
      </c>
      <c r="B17" s="25">
        <v>15</v>
      </c>
      <c r="C17" s="10" t="s">
        <v>28</v>
      </c>
      <c r="D17" s="11">
        <v>71.8888888888889</v>
      </c>
      <c r="E17" s="12">
        <v>7.4</v>
      </c>
      <c r="F17" s="13">
        <v>19.8</v>
      </c>
      <c r="G17" s="14"/>
      <c r="H17" s="14">
        <f t="shared" si="0"/>
        <v>99.0888888888889</v>
      </c>
      <c r="I17" s="15"/>
      <c r="J17" s="16"/>
      <c r="K17" s="20"/>
      <c r="L17" s="38"/>
      <c r="O17" s="39"/>
    </row>
    <row r="18" spans="1:15">
      <c r="A18" s="37" t="s">
        <v>108</v>
      </c>
      <c r="B18" s="25">
        <v>16</v>
      </c>
      <c r="C18" s="10" t="s">
        <v>29</v>
      </c>
      <c r="D18" s="11">
        <v>60.6666666666667</v>
      </c>
      <c r="E18" s="12">
        <v>6.56</v>
      </c>
      <c r="F18" s="13">
        <v>20</v>
      </c>
      <c r="G18" s="14"/>
      <c r="H18" s="14">
        <f t="shared" si="0"/>
        <v>84.2266666666667</v>
      </c>
      <c r="I18" s="15">
        <v>1</v>
      </c>
      <c r="J18" s="16"/>
      <c r="K18" s="21"/>
      <c r="L18" s="38"/>
      <c r="O18" s="39"/>
    </row>
    <row r="19" ht="16.95" customHeight="1" spans="1:15">
      <c r="A19" s="37" t="s">
        <v>109</v>
      </c>
      <c r="B19" s="27">
        <v>17</v>
      </c>
      <c r="C19" s="10" t="s">
        <v>30</v>
      </c>
      <c r="D19" s="11">
        <v>59.3333333333333</v>
      </c>
      <c r="E19" s="12">
        <v>6.72</v>
      </c>
      <c r="F19" s="13">
        <v>18.3</v>
      </c>
      <c r="G19" s="14"/>
      <c r="H19" s="14">
        <f t="shared" si="0"/>
        <v>78.3533333333333</v>
      </c>
      <c r="I19" s="15">
        <v>2</v>
      </c>
      <c r="J19" s="16"/>
      <c r="K19" s="21"/>
      <c r="L19" s="38"/>
      <c r="O19" s="39"/>
    </row>
    <row r="20" ht="16.95" customHeight="1" spans="1:15">
      <c r="A20" s="37" t="s">
        <v>111</v>
      </c>
      <c r="B20" s="9">
        <v>18</v>
      </c>
      <c r="C20" s="10" t="s">
        <v>31</v>
      </c>
      <c r="D20" s="11">
        <v>64.5555555555556</v>
      </c>
      <c r="E20" s="12">
        <v>6.92</v>
      </c>
      <c r="F20" s="13">
        <v>19.2</v>
      </c>
      <c r="G20" s="14"/>
      <c r="H20" s="14">
        <f t="shared" si="0"/>
        <v>90.6755555555556</v>
      </c>
      <c r="I20" s="15"/>
      <c r="J20" s="16"/>
      <c r="K20" s="21"/>
      <c r="O20" s="39"/>
    </row>
    <row r="21" ht="16.95" customHeight="1" spans="1:15">
      <c r="A21" s="37" t="s">
        <v>112</v>
      </c>
      <c r="B21" s="9">
        <v>19</v>
      </c>
      <c r="C21" s="10" t="s">
        <v>32</v>
      </c>
      <c r="D21" s="11">
        <v>65.4444444444444</v>
      </c>
      <c r="E21" s="12">
        <v>7.16</v>
      </c>
      <c r="F21" s="13">
        <v>19.1</v>
      </c>
      <c r="G21" s="14"/>
      <c r="H21" s="14">
        <f t="shared" si="0"/>
        <v>91.7044444444444</v>
      </c>
      <c r="I21" s="15"/>
      <c r="J21" s="16"/>
      <c r="K21" s="21"/>
      <c r="O21" s="39"/>
    </row>
    <row r="22" ht="16.95" customHeight="1" spans="1:15">
      <c r="A22" s="37" t="s">
        <v>113</v>
      </c>
      <c r="B22" s="23">
        <v>20</v>
      </c>
      <c r="C22" s="10" t="s">
        <v>33</v>
      </c>
      <c r="D22" s="11">
        <v>58.8888888888889</v>
      </c>
      <c r="E22" s="12">
        <v>7.6</v>
      </c>
      <c r="F22" s="13">
        <v>20</v>
      </c>
      <c r="G22" s="14"/>
      <c r="H22" s="14">
        <f t="shared" si="0"/>
        <v>83.4888888888889</v>
      </c>
      <c r="I22" s="15">
        <v>1</v>
      </c>
      <c r="J22" s="16"/>
      <c r="K22" s="21"/>
      <c r="O22" s="39"/>
    </row>
    <row r="23" ht="16.95" customHeight="1" spans="1:15">
      <c r="A23" s="37" t="s">
        <v>114</v>
      </c>
      <c r="B23" s="24">
        <v>21</v>
      </c>
      <c r="C23" s="10" t="s">
        <v>34</v>
      </c>
      <c r="D23" s="11">
        <v>66.7777777777778</v>
      </c>
      <c r="E23" s="12">
        <v>6.84</v>
      </c>
      <c r="F23" s="13">
        <v>19.8</v>
      </c>
      <c r="G23" s="14"/>
      <c r="H23" s="14">
        <f t="shared" si="0"/>
        <v>93.4177777777778</v>
      </c>
      <c r="I23" s="15"/>
      <c r="J23" s="16"/>
      <c r="K23" s="20"/>
      <c r="O23" s="39"/>
    </row>
    <row r="24" ht="16.95" customHeight="1" spans="1:15">
      <c r="A24" s="37" t="s">
        <v>115</v>
      </c>
      <c r="B24" s="9">
        <v>22</v>
      </c>
      <c r="C24" s="10" t="s">
        <v>35</v>
      </c>
      <c r="D24" s="11">
        <v>60</v>
      </c>
      <c r="E24" s="12">
        <v>6.84</v>
      </c>
      <c r="F24" s="13">
        <v>18.3</v>
      </c>
      <c r="G24" s="14"/>
      <c r="H24" s="14">
        <f t="shared" si="0"/>
        <v>82.14</v>
      </c>
      <c r="I24" s="15">
        <v>1</v>
      </c>
      <c r="J24" s="16"/>
      <c r="K24" s="20"/>
      <c r="O24" s="39"/>
    </row>
    <row r="25" ht="16.95" customHeight="1" spans="1:15">
      <c r="A25" s="37" t="s">
        <v>116</v>
      </c>
      <c r="B25" s="23">
        <v>23</v>
      </c>
      <c r="C25" s="10" t="s">
        <v>36</v>
      </c>
      <c r="D25" s="11">
        <v>62.6666666666667</v>
      </c>
      <c r="E25" s="12">
        <v>6.8</v>
      </c>
      <c r="F25" s="13">
        <v>20</v>
      </c>
      <c r="G25" s="22"/>
      <c r="H25" s="14">
        <f t="shared" si="0"/>
        <v>86.4666666666667</v>
      </c>
      <c r="I25" s="15">
        <v>1</v>
      </c>
      <c r="J25" s="16"/>
      <c r="K25" s="20"/>
      <c r="O25" s="39"/>
    </row>
    <row r="26" ht="16.95" customHeight="1" spans="1:15">
      <c r="A26" s="37" t="s">
        <v>117</v>
      </c>
      <c r="B26" s="9">
        <v>24</v>
      </c>
      <c r="C26" s="10" t="s">
        <v>37</v>
      </c>
      <c r="D26" s="11">
        <v>70.1111111111111</v>
      </c>
      <c r="E26" s="12">
        <v>6.76</v>
      </c>
      <c r="F26" s="13">
        <v>19.8</v>
      </c>
      <c r="G26" s="14"/>
      <c r="H26" s="14">
        <f t="shared" si="0"/>
        <v>96.6711111111111</v>
      </c>
      <c r="I26" s="15"/>
      <c r="J26" s="16"/>
      <c r="K26" s="20"/>
      <c r="O26" s="39"/>
    </row>
    <row r="27" ht="16.95" customHeight="1" spans="1:15">
      <c r="A27" s="37" t="s">
        <v>118</v>
      </c>
      <c r="B27" s="9">
        <v>25</v>
      </c>
      <c r="C27" s="10" t="s">
        <v>38</v>
      </c>
      <c r="D27" s="11">
        <v>62.8888888888889</v>
      </c>
      <c r="E27" s="12">
        <v>7.04</v>
      </c>
      <c r="F27" s="13">
        <v>20</v>
      </c>
      <c r="G27" s="14"/>
      <c r="H27" s="14">
        <f t="shared" si="0"/>
        <v>89.9288888888889</v>
      </c>
      <c r="I27" s="15"/>
      <c r="J27" s="16"/>
      <c r="K27" s="21"/>
      <c r="O27" s="39"/>
    </row>
    <row r="28" spans="1:15">
      <c r="A28" s="37" t="s">
        <v>119</v>
      </c>
      <c r="B28" s="25">
        <v>26</v>
      </c>
      <c r="C28" s="10" t="s">
        <v>39</v>
      </c>
      <c r="D28" s="11">
        <v>65.3333333333333</v>
      </c>
      <c r="E28" s="12">
        <v>7.4</v>
      </c>
      <c r="F28" s="13">
        <v>20</v>
      </c>
      <c r="G28" s="14"/>
      <c r="H28" s="14">
        <f t="shared" si="0"/>
        <v>89.7333333333333</v>
      </c>
      <c r="I28" s="15">
        <v>1</v>
      </c>
      <c r="J28" s="16"/>
      <c r="K28" s="21"/>
      <c r="O28" s="39"/>
    </row>
    <row r="29" spans="1:15">
      <c r="A29" s="37" t="s">
        <v>120</v>
      </c>
      <c r="B29" s="26">
        <v>27</v>
      </c>
      <c r="C29" s="10" t="s">
        <v>40</v>
      </c>
      <c r="D29" s="11">
        <v>63.6666666666667</v>
      </c>
      <c r="E29" s="12">
        <v>7.28</v>
      </c>
      <c r="F29" s="13">
        <v>20</v>
      </c>
      <c r="G29" s="22"/>
      <c r="H29" s="14">
        <f t="shared" si="0"/>
        <v>84.9466666666667</v>
      </c>
      <c r="I29" s="15">
        <v>2</v>
      </c>
      <c r="J29" s="16"/>
      <c r="K29" s="20"/>
      <c r="L29" s="38"/>
      <c r="O29" s="39"/>
    </row>
    <row r="30" spans="1:15">
      <c r="A30" s="37" t="s">
        <v>121</v>
      </c>
      <c r="B30" s="9">
        <v>28</v>
      </c>
      <c r="C30" s="9" t="s">
        <v>41</v>
      </c>
      <c r="D30" s="11">
        <v>68.3333333333333</v>
      </c>
      <c r="E30" s="12">
        <v>7.6</v>
      </c>
      <c r="F30" s="13">
        <v>18.1</v>
      </c>
      <c r="G30" s="14"/>
      <c r="H30" s="14">
        <f t="shared" si="0"/>
        <v>94.0333333333333</v>
      </c>
      <c r="I30" s="15"/>
      <c r="J30" s="16"/>
      <c r="K30" s="20"/>
      <c r="L30" s="38"/>
      <c r="O30" s="39"/>
    </row>
    <row r="31" spans="1:15">
      <c r="A31" s="37" t="s">
        <v>122</v>
      </c>
      <c r="B31" s="9">
        <v>29</v>
      </c>
      <c r="C31" s="10" t="s">
        <v>42</v>
      </c>
      <c r="D31" s="11">
        <v>62.2222222222222</v>
      </c>
      <c r="E31" s="12">
        <v>7.04</v>
      </c>
      <c r="F31" s="13">
        <v>17.7</v>
      </c>
      <c r="G31" s="14"/>
      <c r="H31" s="14">
        <f t="shared" si="0"/>
        <v>83.9622222222222</v>
      </c>
      <c r="I31" s="15">
        <v>1</v>
      </c>
      <c r="J31" s="19"/>
      <c r="K31" s="20"/>
      <c r="L31" s="38"/>
      <c r="O31" s="39"/>
    </row>
    <row r="32" spans="1:15">
      <c r="A32" s="37" t="s">
        <v>123</v>
      </c>
      <c r="B32" s="23">
        <v>30</v>
      </c>
      <c r="C32" s="10" t="s">
        <v>43</v>
      </c>
      <c r="D32" s="11">
        <v>62.8888888888889</v>
      </c>
      <c r="E32" s="12">
        <v>7.12</v>
      </c>
      <c r="F32" s="13">
        <v>17.8</v>
      </c>
      <c r="G32" s="14"/>
      <c r="H32" s="14">
        <f t="shared" si="0"/>
        <v>87.8088888888889</v>
      </c>
      <c r="I32" s="15"/>
      <c r="J32" s="16"/>
      <c r="K32" s="20"/>
      <c r="L32" s="38"/>
      <c r="M32" s="39"/>
      <c r="O32" s="39"/>
    </row>
    <row r="33" spans="1:13">
      <c r="A33" s="37" t="s">
        <v>124</v>
      </c>
      <c r="B33" s="9">
        <v>31</v>
      </c>
      <c r="C33" s="10" t="s">
        <v>44</v>
      </c>
      <c r="D33" s="11">
        <v>46.6666666666667</v>
      </c>
      <c r="E33" s="12">
        <v>6.6</v>
      </c>
      <c r="F33" s="13">
        <v>19.7</v>
      </c>
      <c r="G33" s="14"/>
      <c r="H33" s="14">
        <f t="shared" si="0"/>
        <v>57.9666666666667</v>
      </c>
      <c r="I33" s="15">
        <v>5</v>
      </c>
      <c r="J33" s="16"/>
      <c r="K33" s="21"/>
      <c r="L33" s="38"/>
      <c r="M33" s="39"/>
    </row>
    <row r="34" ht="16.35" spans="1:13">
      <c r="A34" s="37" t="s">
        <v>125</v>
      </c>
      <c r="B34" s="29">
        <v>32</v>
      </c>
      <c r="C34" s="29" t="s">
        <v>45</v>
      </c>
      <c r="D34" s="11">
        <v>67.6666666666667</v>
      </c>
      <c r="E34" s="12">
        <v>7.44</v>
      </c>
      <c r="F34" s="13">
        <v>20</v>
      </c>
      <c r="G34" s="14"/>
      <c r="H34" s="14">
        <f t="shared" si="0"/>
        <v>92.1066666666667</v>
      </c>
      <c r="I34" s="15">
        <v>1</v>
      </c>
      <c r="J34" s="16"/>
      <c r="K34" s="30"/>
      <c r="L34" s="38"/>
      <c r="M34" s="39"/>
    </row>
    <row r="35" spans="1:13">
      <c r="A35" s="31"/>
      <c r="B35" s="31"/>
      <c r="C35" s="31"/>
      <c r="D35" s="41"/>
      <c r="E35" s="41"/>
      <c r="F35" s="41"/>
      <c r="G35" s="42"/>
      <c r="H35" s="43"/>
      <c r="I35" s="31"/>
      <c r="J35" s="33" t="s">
        <v>46</v>
      </c>
      <c r="K35" s="33"/>
    </row>
    <row r="36" spans="1:13">
      <c r="A36" s="31"/>
      <c r="B36" s="31"/>
      <c r="C36" s="31"/>
      <c r="D36" s="41"/>
      <c r="E36" s="41"/>
      <c r="F36" s="41"/>
      <c r="G36" s="42"/>
      <c r="H36" s="32"/>
      <c r="I36" s="31"/>
      <c r="J36" s="33" t="s">
        <v>47</v>
      </c>
      <c r="K36" s="33"/>
    </row>
    <row r="37" spans="1:13">
      <c r="A37" s="31"/>
      <c r="B37" s="31"/>
      <c r="C37" s="31"/>
      <c r="D37" s="41"/>
      <c r="E37" s="41"/>
      <c r="F37" s="41"/>
      <c r="G37" s="42"/>
      <c r="H37" s="32"/>
      <c r="I37" s="31"/>
      <c r="J37" s="44" t="s">
        <v>48</v>
      </c>
      <c r="K37" s="44"/>
    </row>
    <row r="38" spans="1:13">
      <c r="A38" s="31"/>
      <c r="B38" s="31"/>
      <c r="C38" s="31"/>
      <c r="E38" s="41"/>
      <c r="F38" s="41"/>
      <c r="G38" s="42"/>
      <c r="H38" s="32"/>
      <c r="I38" s="31"/>
      <c r="J38" s="33"/>
      <c r="K38" s="33"/>
    </row>
    <row r="39" spans="1:13">
      <c r="D39" s="41"/>
      <c r="I39" s="31"/>
    </row>
    <row r="42" spans="1:13">
      <c r="F42" s="45"/>
    </row>
  </sheetData>
  <sortState ref="A3:A34">
    <sortCondition ref="A3"/>
  </sortState>
  <mergeCells count="4">
    <mergeCell ref="A1:K1"/>
    <mergeCell ref="J36:K36"/>
    <mergeCell ref="J37:K37"/>
    <mergeCell ref="J38:K38"/>
  </mergeCells>
  <pageMargins left="0.31" right="0.24" top="0.75" bottom="0.75" header="0.3" footer="0.3"/>
  <pageSetup paperSize="9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zoomScaleSheetLayoutView="60" workbookViewId="0">
      <selection activeCell="L15" sqref="L15"/>
    </sheetView>
  </sheetViews>
  <sheetFormatPr defaultColWidth="8.8" defaultRowHeight="15.6"/>
  <cols>
    <col min="1" max="2" width="6.2"/>
    <col min="3" max="3" width="8.6" customWidth="1"/>
    <col min="4" max="6" width="9.2" style="1"/>
    <col min="7" max="7" width="6.5"/>
    <col min="8" max="8" width="8.5" style="1"/>
    <col min="9" max="9" width="7.2"/>
    <col min="10" max="10" width="9.2" style="2"/>
    <col min="11" max="11" width="12.7" customWidth="1"/>
  </cols>
  <sheetData>
    <row r="1" ht="22.95" spans="1:15">
      <c r="A1" s="3" t="s">
        <v>132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5">
      <c r="A2" s="4" t="s">
        <v>81</v>
      </c>
      <c r="B2" s="5" t="s">
        <v>1</v>
      </c>
      <c r="C2" s="5" t="s">
        <v>2</v>
      </c>
      <c r="D2" s="6" t="s">
        <v>127</v>
      </c>
      <c r="E2" s="6" t="s">
        <v>128</v>
      </c>
      <c r="F2" s="6" t="s">
        <v>82</v>
      </c>
      <c r="G2" s="5" t="s">
        <v>129</v>
      </c>
      <c r="H2" s="6" t="s">
        <v>53</v>
      </c>
      <c r="I2" s="5" t="s">
        <v>130</v>
      </c>
      <c r="J2" s="5" t="s">
        <v>131</v>
      </c>
      <c r="K2" s="7" t="s">
        <v>13</v>
      </c>
    </row>
    <row r="3" spans="1:15">
      <c r="A3" s="8" t="s">
        <v>89</v>
      </c>
      <c r="B3" s="9">
        <v>1</v>
      </c>
      <c r="C3" s="10" t="s">
        <v>14</v>
      </c>
      <c r="D3" s="11">
        <v>55</v>
      </c>
      <c r="E3" s="12">
        <v>7.24</v>
      </c>
      <c r="F3" s="13">
        <v>19.8</v>
      </c>
      <c r="G3" s="14"/>
      <c r="H3" s="14">
        <f t="shared" ref="H3:H34" si="0">SUM(D3:G3)-I3*3</f>
        <v>73.04</v>
      </c>
      <c r="I3" s="15">
        <v>3</v>
      </c>
      <c r="J3" s="16"/>
      <c r="K3" s="17"/>
      <c r="L3" s="18"/>
      <c r="M3" s="18"/>
      <c r="N3" s="18"/>
      <c r="O3" s="18"/>
    </row>
    <row r="4" spans="1:15">
      <c r="A4" s="8" t="s">
        <v>90</v>
      </c>
      <c r="B4" s="9">
        <v>2</v>
      </c>
      <c r="C4" s="10" t="s">
        <v>15</v>
      </c>
      <c r="D4" s="11">
        <v>52.7777777777778</v>
      </c>
      <c r="E4" s="12">
        <v>6.88</v>
      </c>
      <c r="F4" s="13">
        <v>17.7</v>
      </c>
      <c r="G4" s="14"/>
      <c r="H4" s="14">
        <f t="shared" si="0"/>
        <v>68.3577777777778</v>
      </c>
      <c r="I4" s="15">
        <v>3</v>
      </c>
      <c r="J4" s="19"/>
      <c r="K4" s="20"/>
      <c r="L4" s="18"/>
      <c r="M4" s="18"/>
      <c r="N4" s="18"/>
      <c r="O4" s="18"/>
    </row>
    <row r="5" spans="1:15">
      <c r="A5" s="8" t="s">
        <v>92</v>
      </c>
      <c r="B5" s="9">
        <v>3</v>
      </c>
      <c r="C5" s="10" t="s">
        <v>16</v>
      </c>
      <c r="D5" s="11">
        <v>73.4444444444444</v>
      </c>
      <c r="E5" s="12">
        <v>7.84</v>
      </c>
      <c r="F5" s="13">
        <v>20</v>
      </c>
      <c r="G5" s="14"/>
      <c r="H5" s="14">
        <f t="shared" si="0"/>
        <v>101.284444444444</v>
      </c>
      <c r="I5" s="15"/>
      <c r="J5" s="16"/>
      <c r="K5" s="17"/>
      <c r="L5" s="18"/>
      <c r="M5" s="18"/>
      <c r="N5" s="18"/>
      <c r="O5" s="18"/>
    </row>
    <row r="6" spans="1:15">
      <c r="A6" s="8" t="s">
        <v>93</v>
      </c>
      <c r="B6" s="9">
        <v>4</v>
      </c>
      <c r="C6" s="10" t="s">
        <v>17</v>
      </c>
      <c r="D6" s="11">
        <v>72.4444444444444</v>
      </c>
      <c r="E6" s="12">
        <v>7.84</v>
      </c>
      <c r="F6" s="13">
        <v>19</v>
      </c>
      <c r="G6" s="14"/>
      <c r="H6" s="14">
        <f t="shared" si="0"/>
        <v>99.2844444444444</v>
      </c>
      <c r="I6" s="15"/>
      <c r="J6" s="16"/>
      <c r="K6" s="21"/>
      <c r="L6" s="18"/>
      <c r="M6" s="18"/>
      <c r="N6" s="18"/>
      <c r="O6" s="18"/>
    </row>
    <row r="7" spans="1:15">
      <c r="A7" s="8" t="s">
        <v>95</v>
      </c>
      <c r="B7" s="9">
        <v>5</v>
      </c>
      <c r="C7" s="10" t="s">
        <v>18</v>
      </c>
      <c r="D7" s="11">
        <v>61.5555555555556</v>
      </c>
      <c r="E7" s="12">
        <v>7.52</v>
      </c>
      <c r="F7" s="13">
        <v>18.6</v>
      </c>
      <c r="G7" s="14">
        <v>2</v>
      </c>
      <c r="H7" s="14">
        <f t="shared" si="0"/>
        <v>89.6755555555556</v>
      </c>
      <c r="I7" s="15"/>
      <c r="J7" s="16"/>
      <c r="K7" s="20"/>
      <c r="L7" s="18"/>
      <c r="M7" s="18"/>
      <c r="N7" s="18"/>
      <c r="O7" s="18"/>
    </row>
    <row r="8" spans="1:15">
      <c r="A8" s="8" t="s">
        <v>97</v>
      </c>
      <c r="B8" s="9">
        <v>6</v>
      </c>
      <c r="C8" s="10" t="s">
        <v>19</v>
      </c>
      <c r="D8" s="11">
        <v>68.5555555555556</v>
      </c>
      <c r="E8" s="12">
        <v>7.36</v>
      </c>
      <c r="F8" s="13">
        <v>18.6</v>
      </c>
      <c r="G8" s="22"/>
      <c r="H8" s="14">
        <f t="shared" si="0"/>
        <v>94.5155555555556</v>
      </c>
      <c r="I8" s="15"/>
      <c r="J8" s="16"/>
      <c r="K8" s="21"/>
      <c r="L8" s="18"/>
      <c r="M8" s="18"/>
      <c r="N8" s="18"/>
      <c r="O8" s="18"/>
    </row>
    <row r="9" spans="1:15">
      <c r="A9" s="8" t="s">
        <v>98</v>
      </c>
      <c r="B9" s="23">
        <v>7</v>
      </c>
      <c r="C9" s="10" t="s">
        <v>20</v>
      </c>
      <c r="D9" s="11">
        <v>69.8888888888889</v>
      </c>
      <c r="E9" s="12">
        <v>7.36</v>
      </c>
      <c r="F9" s="13">
        <v>20</v>
      </c>
      <c r="G9" s="14">
        <v>0.4</v>
      </c>
      <c r="H9" s="14">
        <f t="shared" si="0"/>
        <v>97.6488888888889</v>
      </c>
      <c r="I9" s="15"/>
      <c r="J9" s="16"/>
      <c r="K9" s="21"/>
      <c r="L9" s="18"/>
      <c r="M9" s="18"/>
      <c r="N9" s="18"/>
      <c r="O9" s="18"/>
    </row>
    <row r="10" spans="1:15">
      <c r="A10" s="8" t="s">
        <v>100</v>
      </c>
      <c r="B10" s="24">
        <v>8</v>
      </c>
      <c r="C10" s="10" t="s">
        <v>21</v>
      </c>
      <c r="D10" s="11">
        <v>66</v>
      </c>
      <c r="E10" s="12">
        <v>6.92</v>
      </c>
      <c r="F10" s="13">
        <v>18.6</v>
      </c>
      <c r="G10" s="14"/>
      <c r="H10" s="14">
        <f t="shared" si="0"/>
        <v>91.52</v>
      </c>
      <c r="I10" s="15"/>
      <c r="J10" s="16"/>
      <c r="K10" s="21"/>
      <c r="L10" s="18"/>
      <c r="M10" s="18"/>
      <c r="N10" s="18"/>
      <c r="O10" s="18"/>
    </row>
    <row r="11" spans="1:15">
      <c r="A11" s="8" t="s">
        <v>101</v>
      </c>
      <c r="B11" s="25">
        <v>9</v>
      </c>
      <c r="C11" s="10" t="s">
        <v>22</v>
      </c>
      <c r="D11" s="11">
        <v>76.4444444444444</v>
      </c>
      <c r="E11" s="12">
        <v>7.44</v>
      </c>
      <c r="F11" s="13">
        <v>19.8</v>
      </c>
      <c r="G11" s="14"/>
      <c r="H11" s="14">
        <f t="shared" si="0"/>
        <v>103.684444444444</v>
      </c>
      <c r="I11" s="15"/>
      <c r="J11" s="16"/>
      <c r="K11" s="21"/>
      <c r="L11" s="18"/>
      <c r="M11" s="18"/>
      <c r="N11" s="18"/>
      <c r="O11" s="18"/>
    </row>
    <row r="12" spans="1:15">
      <c r="A12" s="8" t="s">
        <v>102</v>
      </c>
      <c r="B12" s="26">
        <v>10</v>
      </c>
      <c r="C12" s="10" t="s">
        <v>23</v>
      </c>
      <c r="D12" s="11">
        <v>70.4444444444444</v>
      </c>
      <c r="E12" s="12">
        <v>7.2</v>
      </c>
      <c r="F12" s="13">
        <v>19.6</v>
      </c>
      <c r="G12" s="14"/>
      <c r="H12" s="14">
        <f t="shared" si="0"/>
        <v>97.2444444444444</v>
      </c>
      <c r="I12" s="15"/>
      <c r="J12" s="16"/>
      <c r="K12" s="20"/>
      <c r="L12" s="18"/>
      <c r="M12" s="18"/>
      <c r="N12" s="18"/>
      <c r="O12" s="18"/>
    </row>
    <row r="13" spans="1:15">
      <c r="A13" s="8" t="s">
        <v>103</v>
      </c>
      <c r="B13" s="23">
        <v>11</v>
      </c>
      <c r="C13" s="10" t="s">
        <v>24</v>
      </c>
      <c r="D13" s="11">
        <v>58.6666666666667</v>
      </c>
      <c r="E13" s="12">
        <v>6.84</v>
      </c>
      <c r="F13" s="13">
        <v>19.8</v>
      </c>
      <c r="G13" s="14"/>
      <c r="H13" s="14">
        <f t="shared" si="0"/>
        <v>79.3066666666667</v>
      </c>
      <c r="I13" s="15">
        <v>2</v>
      </c>
      <c r="J13" s="16"/>
      <c r="K13" s="21"/>
      <c r="L13" s="18"/>
      <c r="M13" s="18"/>
      <c r="N13" s="18"/>
      <c r="O13" s="18"/>
    </row>
    <row r="14" spans="1:15">
      <c r="A14" s="8" t="s">
        <v>104</v>
      </c>
      <c r="B14" s="23">
        <v>12</v>
      </c>
      <c r="C14" s="10" t="s">
        <v>25</v>
      </c>
      <c r="D14" s="11">
        <v>63.8888888888889</v>
      </c>
      <c r="E14" s="12">
        <v>7.08</v>
      </c>
      <c r="F14" s="13">
        <v>18.6</v>
      </c>
      <c r="G14" s="14"/>
      <c r="H14" s="14">
        <f t="shared" si="0"/>
        <v>89.5688888888889</v>
      </c>
      <c r="I14" s="15"/>
      <c r="J14" s="16"/>
      <c r="K14" s="20"/>
      <c r="L14" s="18"/>
      <c r="M14" s="18"/>
      <c r="N14" s="18"/>
      <c r="O14" s="18"/>
    </row>
    <row r="15" spans="1:15">
      <c r="A15" s="8" t="s">
        <v>105</v>
      </c>
      <c r="B15" s="9">
        <v>13</v>
      </c>
      <c r="C15" s="10" t="s">
        <v>26</v>
      </c>
      <c r="D15" s="11">
        <v>55.2222222222222</v>
      </c>
      <c r="E15" s="12">
        <v>6.4</v>
      </c>
      <c r="F15" s="13">
        <v>19.5</v>
      </c>
      <c r="G15" s="14"/>
      <c r="H15" s="14">
        <f t="shared" si="0"/>
        <v>69.1222222222222</v>
      </c>
      <c r="I15" s="15">
        <v>4</v>
      </c>
      <c r="J15" s="16"/>
      <c r="K15" s="21"/>
      <c r="L15" s="18"/>
      <c r="M15" s="18"/>
      <c r="N15" s="18"/>
      <c r="O15" s="18"/>
    </row>
    <row r="16" spans="1:15">
      <c r="A16" s="8" t="s">
        <v>106</v>
      </c>
      <c r="B16" s="9">
        <v>14</v>
      </c>
      <c r="C16" s="10" t="s">
        <v>27</v>
      </c>
      <c r="D16" s="11">
        <v>64.4444444444444</v>
      </c>
      <c r="E16" s="12">
        <v>7.04</v>
      </c>
      <c r="F16" s="13">
        <v>19.8</v>
      </c>
      <c r="G16" s="14"/>
      <c r="H16" s="14">
        <f t="shared" si="0"/>
        <v>91.2844444444444</v>
      </c>
      <c r="I16" s="15"/>
      <c r="J16" s="16"/>
      <c r="K16" s="21"/>
      <c r="L16" s="18"/>
      <c r="M16" s="18"/>
      <c r="N16" s="18"/>
      <c r="O16" s="18"/>
    </row>
    <row r="17" spans="1:15">
      <c r="A17" s="8" t="s">
        <v>107</v>
      </c>
      <c r="B17" s="25">
        <v>15</v>
      </c>
      <c r="C17" s="10" t="s">
        <v>28</v>
      </c>
      <c r="D17" s="11">
        <v>71.8888888888889</v>
      </c>
      <c r="E17" s="12">
        <v>7.4</v>
      </c>
      <c r="F17" s="13">
        <v>19.8</v>
      </c>
      <c r="G17" s="14"/>
      <c r="H17" s="14">
        <f t="shared" si="0"/>
        <v>99.0888888888889</v>
      </c>
      <c r="I17" s="15"/>
      <c r="J17" s="16"/>
      <c r="K17" s="20"/>
      <c r="L17" s="18"/>
      <c r="M17" s="18"/>
      <c r="N17" s="18"/>
      <c r="O17" s="18"/>
    </row>
    <row r="18" spans="1:15">
      <c r="A18" s="8" t="s">
        <v>108</v>
      </c>
      <c r="B18" s="25">
        <v>16</v>
      </c>
      <c r="C18" s="10" t="s">
        <v>29</v>
      </c>
      <c r="D18" s="11">
        <v>60.6666666666667</v>
      </c>
      <c r="E18" s="12">
        <v>6.56</v>
      </c>
      <c r="F18" s="13">
        <v>20</v>
      </c>
      <c r="G18" s="14"/>
      <c r="H18" s="14">
        <f t="shared" si="0"/>
        <v>84.2266666666667</v>
      </c>
      <c r="I18" s="15">
        <v>1</v>
      </c>
      <c r="J18" s="16"/>
      <c r="K18" s="21"/>
      <c r="L18" s="18"/>
      <c r="M18" s="18"/>
      <c r="N18" s="18"/>
      <c r="O18" s="18"/>
    </row>
    <row r="19" ht="15" customHeight="1" spans="1:15">
      <c r="A19" s="8" t="s">
        <v>109</v>
      </c>
      <c r="B19" s="27">
        <v>17</v>
      </c>
      <c r="C19" s="10" t="s">
        <v>30</v>
      </c>
      <c r="D19" s="11">
        <v>59.3333333333333</v>
      </c>
      <c r="E19" s="12">
        <v>6.72</v>
      </c>
      <c r="F19" s="13">
        <v>18.3</v>
      </c>
      <c r="G19" s="14"/>
      <c r="H19" s="14">
        <f t="shared" si="0"/>
        <v>78.3533333333333</v>
      </c>
      <c r="I19" s="15">
        <v>2</v>
      </c>
      <c r="J19" s="16"/>
      <c r="K19" s="21"/>
      <c r="L19" s="18"/>
      <c r="M19" s="18"/>
      <c r="N19" s="18"/>
      <c r="O19" s="18"/>
    </row>
    <row r="20" spans="1:15">
      <c r="A20" s="8" t="s">
        <v>111</v>
      </c>
      <c r="B20" s="9">
        <v>18</v>
      </c>
      <c r="C20" s="10" t="s">
        <v>31</v>
      </c>
      <c r="D20" s="11">
        <v>64.5555555555556</v>
      </c>
      <c r="E20" s="12">
        <v>6.92</v>
      </c>
      <c r="F20" s="13">
        <v>19.2</v>
      </c>
      <c r="G20" s="14"/>
      <c r="H20" s="14">
        <f t="shared" si="0"/>
        <v>90.6755555555556</v>
      </c>
      <c r="I20" s="15"/>
      <c r="J20" s="16"/>
      <c r="K20" s="21"/>
      <c r="L20" s="18"/>
      <c r="M20" s="18"/>
      <c r="N20" s="18"/>
      <c r="O20" s="18"/>
    </row>
    <row r="21" spans="1:15">
      <c r="A21" s="8" t="s">
        <v>112</v>
      </c>
      <c r="B21" s="9">
        <v>19</v>
      </c>
      <c r="C21" s="10" t="s">
        <v>32</v>
      </c>
      <c r="D21" s="11">
        <v>65.4444444444444</v>
      </c>
      <c r="E21" s="12">
        <v>7.16</v>
      </c>
      <c r="F21" s="13">
        <v>19.1</v>
      </c>
      <c r="G21" s="14"/>
      <c r="H21" s="14">
        <f t="shared" si="0"/>
        <v>91.7044444444444</v>
      </c>
      <c r="I21" s="15"/>
      <c r="J21" s="16"/>
      <c r="K21" s="21"/>
      <c r="L21" s="18"/>
      <c r="M21" s="18"/>
      <c r="N21" s="18"/>
      <c r="O21" s="18"/>
    </row>
    <row r="22" spans="1:15">
      <c r="A22" s="8" t="s">
        <v>113</v>
      </c>
      <c r="B22" s="23">
        <v>20</v>
      </c>
      <c r="C22" s="10" t="s">
        <v>33</v>
      </c>
      <c r="D22" s="11">
        <v>58.8888888888889</v>
      </c>
      <c r="E22" s="12">
        <v>7.6</v>
      </c>
      <c r="F22" s="13">
        <v>20</v>
      </c>
      <c r="G22" s="14"/>
      <c r="H22" s="14">
        <f t="shared" si="0"/>
        <v>83.4888888888889</v>
      </c>
      <c r="I22" s="15">
        <v>1</v>
      </c>
      <c r="J22" s="16"/>
      <c r="K22" s="21"/>
      <c r="L22" s="18"/>
      <c r="M22" s="18"/>
      <c r="N22" s="18"/>
      <c r="O22" s="18"/>
    </row>
    <row r="23" spans="1:15">
      <c r="A23" s="8" t="s">
        <v>114</v>
      </c>
      <c r="B23" s="24">
        <v>21</v>
      </c>
      <c r="C23" s="10" t="s">
        <v>34</v>
      </c>
      <c r="D23" s="11">
        <v>66.7777777777778</v>
      </c>
      <c r="E23" s="12">
        <v>6.84</v>
      </c>
      <c r="F23" s="13">
        <v>19.8</v>
      </c>
      <c r="G23" s="14"/>
      <c r="H23" s="14">
        <f t="shared" si="0"/>
        <v>93.4177777777778</v>
      </c>
      <c r="I23" s="15"/>
      <c r="J23" s="16"/>
      <c r="K23" s="20"/>
      <c r="L23" s="18"/>
      <c r="M23" s="18"/>
      <c r="N23" s="18"/>
      <c r="O23" s="18"/>
    </row>
    <row r="24" spans="1:15">
      <c r="A24" s="8" t="s">
        <v>115</v>
      </c>
      <c r="B24" s="9">
        <v>22</v>
      </c>
      <c r="C24" s="10" t="s">
        <v>35</v>
      </c>
      <c r="D24" s="11">
        <v>60</v>
      </c>
      <c r="E24" s="12">
        <v>6.84</v>
      </c>
      <c r="F24" s="13">
        <v>18.3</v>
      </c>
      <c r="G24" s="14"/>
      <c r="H24" s="14">
        <f t="shared" si="0"/>
        <v>82.14</v>
      </c>
      <c r="I24" s="15">
        <v>1</v>
      </c>
      <c r="J24" s="16"/>
      <c r="K24" s="20"/>
      <c r="L24" s="18"/>
      <c r="M24" s="18"/>
      <c r="N24" s="18"/>
      <c r="O24" s="18"/>
    </row>
    <row r="25" spans="1:15">
      <c r="A25" s="8" t="s">
        <v>116</v>
      </c>
      <c r="B25" s="23">
        <v>23</v>
      </c>
      <c r="C25" s="10" t="s">
        <v>36</v>
      </c>
      <c r="D25" s="11">
        <v>62.6666666666667</v>
      </c>
      <c r="E25" s="12">
        <v>6.8</v>
      </c>
      <c r="F25" s="13">
        <v>20</v>
      </c>
      <c r="G25" s="22"/>
      <c r="H25" s="14">
        <f t="shared" si="0"/>
        <v>86.4666666666667</v>
      </c>
      <c r="I25" s="15">
        <v>1</v>
      </c>
      <c r="J25" s="16"/>
      <c r="K25" s="20"/>
      <c r="L25" s="18"/>
      <c r="M25" s="18"/>
      <c r="N25" s="18"/>
      <c r="O25" s="18"/>
    </row>
    <row r="26" spans="1:15">
      <c r="A26" s="8" t="s">
        <v>117</v>
      </c>
      <c r="B26" s="9">
        <v>24</v>
      </c>
      <c r="C26" s="10" t="s">
        <v>37</v>
      </c>
      <c r="D26" s="11">
        <v>70.1111111111111</v>
      </c>
      <c r="E26" s="12">
        <v>6.76</v>
      </c>
      <c r="F26" s="13">
        <v>19.8</v>
      </c>
      <c r="G26" s="14"/>
      <c r="H26" s="14">
        <f t="shared" si="0"/>
        <v>96.6711111111111</v>
      </c>
      <c r="I26" s="15"/>
      <c r="J26" s="16"/>
      <c r="K26" s="20"/>
      <c r="L26" s="18"/>
      <c r="M26" s="18"/>
      <c r="N26" s="18"/>
      <c r="O26" s="18"/>
    </row>
    <row r="27" spans="1:15">
      <c r="A27" s="8" t="s">
        <v>118</v>
      </c>
      <c r="B27" s="9">
        <v>25</v>
      </c>
      <c r="C27" s="10" t="s">
        <v>38</v>
      </c>
      <c r="D27" s="11">
        <v>62.8888888888889</v>
      </c>
      <c r="E27" s="12">
        <v>7.04</v>
      </c>
      <c r="F27" s="13">
        <v>20</v>
      </c>
      <c r="G27" s="14"/>
      <c r="H27" s="14">
        <f t="shared" si="0"/>
        <v>89.9288888888889</v>
      </c>
      <c r="I27" s="15"/>
      <c r="J27" s="16"/>
      <c r="K27" s="21"/>
      <c r="L27" s="18"/>
      <c r="M27" s="18"/>
      <c r="N27" s="18"/>
      <c r="O27" s="18"/>
    </row>
    <row r="28" spans="1:15">
      <c r="A28" s="8" t="s">
        <v>119</v>
      </c>
      <c r="B28" s="25">
        <v>26</v>
      </c>
      <c r="C28" s="10" t="s">
        <v>39</v>
      </c>
      <c r="D28" s="11">
        <v>65.3333333333333</v>
      </c>
      <c r="E28" s="12">
        <v>7.4</v>
      </c>
      <c r="F28" s="13">
        <v>20</v>
      </c>
      <c r="G28" s="14"/>
      <c r="H28" s="14">
        <f t="shared" si="0"/>
        <v>89.7333333333333</v>
      </c>
      <c r="I28" s="15">
        <v>1</v>
      </c>
      <c r="J28" s="16"/>
      <c r="K28" s="21"/>
      <c r="L28" s="18"/>
      <c r="M28" s="18"/>
      <c r="N28" s="18"/>
      <c r="O28" s="18"/>
    </row>
    <row r="29" spans="1:15">
      <c r="A29" s="8" t="s">
        <v>120</v>
      </c>
      <c r="B29" s="26">
        <v>27</v>
      </c>
      <c r="C29" s="10" t="s">
        <v>40</v>
      </c>
      <c r="D29" s="11">
        <v>63.6666666666667</v>
      </c>
      <c r="E29" s="12">
        <v>7.28</v>
      </c>
      <c r="F29" s="13">
        <v>20</v>
      </c>
      <c r="G29" s="22"/>
      <c r="H29" s="14">
        <f t="shared" si="0"/>
        <v>84.9466666666667</v>
      </c>
      <c r="I29" s="15">
        <v>2</v>
      </c>
      <c r="J29" s="16"/>
      <c r="K29" s="20"/>
      <c r="L29" s="18"/>
      <c r="M29" s="18"/>
      <c r="N29" s="18"/>
      <c r="O29" s="18"/>
    </row>
    <row r="30" spans="1:15">
      <c r="A30" s="8" t="s">
        <v>121</v>
      </c>
      <c r="B30" s="9">
        <v>28</v>
      </c>
      <c r="C30" s="9" t="s">
        <v>41</v>
      </c>
      <c r="D30" s="11">
        <v>68.3333333333333</v>
      </c>
      <c r="E30" s="12">
        <v>7.6</v>
      </c>
      <c r="F30" s="13">
        <v>18.1</v>
      </c>
      <c r="G30" s="14"/>
      <c r="H30" s="14">
        <f t="shared" si="0"/>
        <v>94.0333333333333</v>
      </c>
      <c r="I30" s="15"/>
      <c r="J30" s="16"/>
      <c r="K30" s="20"/>
      <c r="L30" s="18"/>
      <c r="M30" s="18"/>
      <c r="N30" s="18"/>
      <c r="O30" s="18"/>
    </row>
    <row r="31" spans="1:15">
      <c r="A31" s="8" t="s">
        <v>122</v>
      </c>
      <c r="B31" s="9">
        <v>29</v>
      </c>
      <c r="C31" s="10" t="s">
        <v>42</v>
      </c>
      <c r="D31" s="11">
        <v>62.2222222222222</v>
      </c>
      <c r="E31" s="12">
        <v>7.04</v>
      </c>
      <c r="F31" s="13">
        <v>17.7</v>
      </c>
      <c r="G31" s="14"/>
      <c r="H31" s="14">
        <f t="shared" si="0"/>
        <v>83.9622222222222</v>
      </c>
      <c r="I31" s="15">
        <v>1</v>
      </c>
      <c r="J31" s="19"/>
      <c r="K31" s="20"/>
      <c r="L31" s="18"/>
      <c r="M31" s="18"/>
      <c r="N31" s="18"/>
      <c r="O31" s="18"/>
    </row>
    <row r="32" spans="1:15">
      <c r="A32" s="8" t="s">
        <v>123</v>
      </c>
      <c r="B32" s="23">
        <v>30</v>
      </c>
      <c r="C32" s="10" t="s">
        <v>43</v>
      </c>
      <c r="D32" s="11">
        <v>62.8888888888889</v>
      </c>
      <c r="E32" s="12">
        <v>7.12</v>
      </c>
      <c r="F32" s="13">
        <v>17.8</v>
      </c>
      <c r="G32" s="14"/>
      <c r="H32" s="14">
        <f t="shared" si="0"/>
        <v>87.8088888888889</v>
      </c>
      <c r="I32" s="15"/>
      <c r="J32" s="16"/>
      <c r="K32" s="20"/>
      <c r="L32" s="18"/>
      <c r="M32" s="18"/>
      <c r="N32" s="18"/>
      <c r="O32" s="18"/>
    </row>
    <row r="33" spans="1:11">
      <c r="A33" s="8" t="s">
        <v>124</v>
      </c>
      <c r="B33" s="9">
        <v>31</v>
      </c>
      <c r="C33" s="10" t="s">
        <v>44</v>
      </c>
      <c r="D33" s="11">
        <v>46.6666666666667</v>
      </c>
      <c r="E33" s="12">
        <v>6.6</v>
      </c>
      <c r="F33" s="13">
        <v>19.7</v>
      </c>
      <c r="G33" s="14"/>
      <c r="H33" s="14">
        <f t="shared" si="0"/>
        <v>57.9666666666667</v>
      </c>
      <c r="I33" s="15">
        <v>5</v>
      </c>
      <c r="J33" s="16"/>
      <c r="K33" s="21"/>
    </row>
    <row r="34" ht="16.35" spans="1:11">
      <c r="A34" s="28" t="s">
        <v>125</v>
      </c>
      <c r="B34" s="29">
        <v>32</v>
      </c>
      <c r="C34" s="29" t="s">
        <v>45</v>
      </c>
      <c r="D34" s="11">
        <v>67.6666666666667</v>
      </c>
      <c r="E34" s="12">
        <v>7.44</v>
      </c>
      <c r="F34" s="13">
        <v>20</v>
      </c>
      <c r="G34" s="14"/>
      <c r="H34" s="14">
        <f t="shared" si="0"/>
        <v>80.1066666666667</v>
      </c>
      <c r="I34" s="15">
        <v>5</v>
      </c>
      <c r="J34" s="16"/>
      <c r="K34" s="30"/>
    </row>
    <row r="35" spans="1:11">
      <c r="A35" s="31"/>
      <c r="B35" s="31"/>
      <c r="C35" s="31"/>
      <c r="D35" s="32"/>
      <c r="E35" s="32"/>
      <c r="F35" s="32"/>
      <c r="G35" s="31"/>
      <c r="H35" s="32"/>
      <c r="I35" s="31"/>
      <c r="J35" s="33" t="s">
        <v>46</v>
      </c>
      <c r="K35" s="33"/>
    </row>
    <row r="36" spans="1:11">
      <c r="A36" s="31"/>
      <c r="B36" s="31"/>
      <c r="C36" s="31"/>
      <c r="D36" s="32"/>
      <c r="E36" s="32"/>
      <c r="F36" s="32"/>
      <c r="G36" s="31"/>
      <c r="H36" s="32"/>
      <c r="I36" s="31"/>
      <c r="J36" s="33" t="s">
        <v>47</v>
      </c>
      <c r="K36" s="33"/>
    </row>
    <row r="37" spans="1:11">
      <c r="A37" s="31"/>
      <c r="B37" s="31"/>
      <c r="C37" s="31"/>
      <c r="D37" s="32"/>
      <c r="E37" s="32"/>
      <c r="F37" s="32"/>
      <c r="G37" s="31"/>
      <c r="H37" s="32"/>
      <c r="I37" s="31"/>
      <c r="J37" s="33" t="s">
        <v>48</v>
      </c>
      <c r="K37" s="33"/>
    </row>
    <row r="38" spans="1:11">
      <c r="A38" s="31"/>
      <c r="B38" s="31"/>
      <c r="C38" s="31"/>
      <c r="D38" s="32"/>
      <c r="E38" s="32"/>
      <c r="F38" s="32"/>
      <c r="G38" s="31"/>
      <c r="H38" s="32"/>
      <c r="I38" s="31"/>
      <c r="J38" s="33"/>
      <c r="K38" s="33"/>
    </row>
    <row r="39" spans="1:11">
      <c r="I39" s="31"/>
    </row>
  </sheetData>
  <sortState ref="B3:I34">
    <sortCondition ref="B3:B34"/>
  </sortState>
  <mergeCells count="4">
    <mergeCell ref="A1:K1"/>
    <mergeCell ref="J36:K36"/>
    <mergeCell ref="J37:K37"/>
    <mergeCell ref="J38:K38"/>
  </mergeCells>
  <pageMargins left="0.47" right="0.2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成绩明细</vt:lpstr>
      <vt:lpstr>加分明细</vt:lpstr>
      <vt:lpstr>成绩附表</vt:lpstr>
      <vt:lpstr>智育表</vt:lpstr>
      <vt:lpstr>学风杯成绩表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Fashiye_xico</cp:lastModifiedBy>
  <dcterms:created xsi:type="dcterms:W3CDTF">2014-03-24T03:22:00Z</dcterms:created>
  <dcterms:modified xsi:type="dcterms:W3CDTF">2026-01-08T13:17:51Z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97EEB5E8E0B242DE8A2CE2114D1A4F43_13</vt:lpwstr>
  </property>
  <property fmtid="{D5CDD505-2E9C-101B-9397-08002B2CF9AE}" pid="4" name="CalculationRule">
    <vt:i4>0</vt:i4>
  </property>
</Properties>
</file>